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METRE (CR,CS)" sheetId="1" r:id="rId5"/>
    <sheet state="visible" name="COROUI" sheetId="2" r:id="rId6"/>
    <sheet state="visible" name="COSOU" sheetId="3" r:id="rId7"/>
    <sheet state="visible" name="RECCAPITULATIF" sheetId="4" r:id="rId8"/>
    <sheet state="visible" name="TAUX DABSORPTION DEAU " sheetId="5" r:id="rId9"/>
    <sheet state="visible" name="REPRISE DHUMIDITE " sheetId="6" r:id="rId10"/>
    <sheet state="visible" name="DENSITE ABSOLUE" sheetId="7" r:id="rId11"/>
  </sheets>
  <definedNames/>
  <calcPr/>
</workbook>
</file>

<file path=xl/sharedStrings.xml><?xml version="1.0" encoding="utf-8"?>
<sst xmlns="http://schemas.openxmlformats.org/spreadsheetml/2006/main" count="464" uniqueCount="96">
  <si>
    <t>DIAMETRE FIBRE COROUI</t>
  </si>
  <si>
    <t>DIAMETRE FIBRE COSOU</t>
  </si>
  <si>
    <t>D_1(mm)</t>
  </si>
  <si>
    <t>D_2(mm)</t>
  </si>
  <si>
    <t>D_3(mm)</t>
  </si>
  <si>
    <t>D_Moy(mm)</t>
  </si>
  <si>
    <t>S_(mm2)</t>
  </si>
  <si>
    <t>D_Moy Global(mm)</t>
  </si>
  <si>
    <t>Ech1</t>
  </si>
  <si>
    <t>Ech2</t>
  </si>
  <si>
    <t>Ech3</t>
  </si>
  <si>
    <t>Ech4</t>
  </si>
  <si>
    <t>Ech5</t>
  </si>
  <si>
    <t>Ech6</t>
  </si>
  <si>
    <t>Ech7</t>
  </si>
  <si>
    <t>Ech8</t>
  </si>
  <si>
    <t>Ech9</t>
  </si>
  <si>
    <t>Ech10</t>
  </si>
  <si>
    <t>Ech11</t>
  </si>
  <si>
    <t>Ech12</t>
  </si>
  <si>
    <t>Ech13</t>
  </si>
  <si>
    <t>Ech14</t>
  </si>
  <si>
    <t>Ech15</t>
  </si>
  <si>
    <t>Ech16</t>
  </si>
  <si>
    <t>Ech17</t>
  </si>
  <si>
    <t>Ech18</t>
  </si>
  <si>
    <t>Ech19</t>
  </si>
  <si>
    <t>Ech20</t>
  </si>
  <si>
    <t>Ech21</t>
  </si>
  <si>
    <t>Ech22</t>
  </si>
  <si>
    <t>COROUI</t>
  </si>
  <si>
    <t>COSOU</t>
  </si>
  <si>
    <t>CR</t>
  </si>
  <si>
    <t>CS</t>
  </si>
  <si>
    <t>Ms(g)</t>
  </si>
  <si>
    <t>M(h)</t>
  </si>
  <si>
    <t>TAUX _(%)</t>
  </si>
  <si>
    <t>MOYENNE</t>
  </si>
  <si>
    <t>ECART-TYPE</t>
  </si>
  <si>
    <t>Mh(g)</t>
  </si>
  <si>
    <t>TAUX_(%)</t>
  </si>
  <si>
    <t>Moyenne</t>
  </si>
  <si>
    <t>Ecart-type</t>
  </si>
  <si>
    <r>
      <rPr>
        <rFont val="Calibri"/>
        <color theme="1"/>
      </rPr>
      <t>M</t>
    </r>
    <r>
      <rPr>
        <rFont val="Calibri"/>
        <color theme="1"/>
        <sz val="11.0"/>
      </rPr>
      <t>₀</t>
    </r>
    <r>
      <rPr>
        <rFont val="Calibri"/>
        <b/>
        <color theme="1"/>
        <sz val="11.0"/>
      </rPr>
      <t>(g)</t>
    </r>
  </si>
  <si>
    <t>M₁(g)</t>
  </si>
  <si>
    <t>M₂(g)</t>
  </si>
  <si>
    <r>
      <rPr>
        <rFont val="Calibri"/>
        <color theme="1"/>
        <sz val="11.0"/>
      </rPr>
      <t xml:space="preserve">ρ </t>
    </r>
    <r>
      <rPr>
        <rFont val="Calibri"/>
        <color theme="1"/>
        <sz val="11.0"/>
      </rPr>
      <t>(g/cm</t>
    </r>
    <r>
      <rPr>
        <rFont val="Calibri"/>
        <color theme="1"/>
        <sz val="11.0"/>
      </rPr>
      <t>³</t>
    </r>
    <r>
      <rPr>
        <rFont val="Calibri"/>
        <color theme="1"/>
        <sz val="11.0"/>
      </rPr>
      <t>)</t>
    </r>
  </si>
  <si>
    <t>Elong.(mm) - Ech 1</t>
  </si>
  <si>
    <t>Force(N) - Ech 1</t>
  </si>
  <si>
    <t>Def</t>
  </si>
  <si>
    <t>Cont</t>
  </si>
  <si>
    <t>Cont(max)</t>
  </si>
  <si>
    <t>Def rupt</t>
  </si>
  <si>
    <t>E(mpa)</t>
  </si>
  <si>
    <t>Elong.(mm) - Ech 2</t>
  </si>
  <si>
    <t>Force(N) - Ech 2</t>
  </si>
  <si>
    <t>Elong.(mm) - Ech 3</t>
  </si>
  <si>
    <t>Force(N) - Ech 3</t>
  </si>
  <si>
    <t>Elong.(mm) - Ech 4</t>
  </si>
  <si>
    <t>Force(N) - Ech 4</t>
  </si>
  <si>
    <t>Elong.(mm) - Ech 5</t>
  </si>
  <si>
    <t>Force(N) - Ech 5</t>
  </si>
  <si>
    <t>Elong.(mm) - Ech 6</t>
  </si>
  <si>
    <t>Force(N) - Ech 6</t>
  </si>
  <si>
    <t>Elong.(mm) - Ech 7</t>
  </si>
  <si>
    <t>Force(N) - Ech 7</t>
  </si>
  <si>
    <t>Elong.(mm) - Ech 8</t>
  </si>
  <si>
    <t>Force(N) - Ech 8</t>
  </si>
  <si>
    <t>Elong.(mm) - Ech 9</t>
  </si>
  <si>
    <t>Force(N) - Ech 9</t>
  </si>
  <si>
    <t>Elong.(mm) - Ech 10</t>
  </si>
  <si>
    <t>Force(N) - Ech 10</t>
  </si>
  <si>
    <t>Elong.(mm) - Ech 11</t>
  </si>
  <si>
    <t>Force(N) - Ech 11</t>
  </si>
  <si>
    <t>Elong.(mm) - Ech 12</t>
  </si>
  <si>
    <t>Force(N) - Ech 12</t>
  </si>
  <si>
    <t>Elong.(mm) - Ech 13</t>
  </si>
  <si>
    <t>Force(N) - Ech 13</t>
  </si>
  <si>
    <t>Elong.(mm) - Ech 14</t>
  </si>
  <si>
    <t>Force(N) - Ech 14</t>
  </si>
  <si>
    <t>Elong.(mm) - Ech 15</t>
  </si>
  <si>
    <t>Force(N) - Ech 15</t>
  </si>
  <si>
    <t>Elong.(mm) - Ech 16</t>
  </si>
  <si>
    <t>Force(N) - Ech 16</t>
  </si>
  <si>
    <t>Elong.(mm) - Ech 17</t>
  </si>
  <si>
    <t>Force(N) - Ech 17</t>
  </si>
  <si>
    <t>Elong.(mm) - Ech 18</t>
  </si>
  <si>
    <t>Force(N) - Ech 18</t>
  </si>
  <si>
    <t>Elong.(mm) - Ech 19</t>
  </si>
  <si>
    <t>Force(N) - Ech 19</t>
  </si>
  <si>
    <t>Elong.(mm) - Ech 20</t>
  </si>
  <si>
    <t>Force(N) - Ech 20</t>
  </si>
  <si>
    <t>Elong.(mm) - Ech 21</t>
  </si>
  <si>
    <t>Force(N) - Ech 21</t>
  </si>
  <si>
    <t>Elong.(mm) - Ech 22</t>
  </si>
  <si>
    <t>Force(N) - Ech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</si>
</sst>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COROUI!$C$3:$C$5</c:f>
            </c:numRef>
          </c:xVal>
          <c:yVal>
            <c:numRef>
              <c:f>COROUI!$D$3:$D$5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726609"/>
        <c:axId val="1617472021"/>
      </c:scatterChart>
      <c:valAx>
        <c:axId val="21257266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7472021"/>
      </c:valAx>
      <c:valAx>
        <c:axId val="1617472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572660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COROUI!$K$4:$K$7</c:f>
            </c:numRef>
          </c:xVal>
          <c:yVal>
            <c:numRef>
              <c:f>COROUI!$L$4:$L$7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04581"/>
        <c:axId val="510972692"/>
      </c:scatterChart>
      <c:valAx>
        <c:axId val="440304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0972692"/>
      </c:valAx>
      <c:valAx>
        <c:axId val="510972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030458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COROUI!$S$3:$S$6</c:f>
            </c:numRef>
          </c:xVal>
          <c:yVal>
            <c:numRef>
              <c:f>COROUI!$T$3:$T$6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396087"/>
        <c:axId val="1440012079"/>
      </c:scatterChart>
      <c:valAx>
        <c:axId val="7323960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0012079"/>
      </c:valAx>
      <c:valAx>
        <c:axId val="1440012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39608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COROUI!$AB$3:$AB$9</c:f>
            </c:numRef>
          </c:xVal>
          <c:yVal>
            <c:numRef>
              <c:f>COROUI!$AC$3:$AC$9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63934"/>
        <c:axId val="414198769"/>
      </c:scatterChart>
      <c:valAx>
        <c:axId val="5342639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4198769"/>
      </c:valAx>
      <c:valAx>
        <c:axId val="414198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426393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COROUI!$AK$3:$AK$6</c:f>
            </c:numRef>
          </c:xVal>
          <c:yVal>
            <c:numRef>
              <c:f>COROUI!$AL$3:$AL$6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392405"/>
        <c:axId val="2057252028"/>
      </c:scatterChart>
      <c:valAx>
        <c:axId val="13543924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252028"/>
      </c:valAx>
      <c:valAx>
        <c:axId val="2057252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439240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COROUI!$AS$5:$AS$7</c:f>
            </c:numRef>
          </c:xVal>
          <c:yVal>
            <c:numRef>
              <c:f>COROUI!$AT$5:$AT$7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916222"/>
        <c:axId val="991528898"/>
      </c:scatterChart>
      <c:valAx>
        <c:axId val="15949162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1528898"/>
      </c:valAx>
      <c:valAx>
        <c:axId val="991528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491622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COROUI!$BA$3:$BA$9</c:f>
            </c:numRef>
          </c:xVal>
          <c:yVal>
            <c:numRef>
              <c:f>COROUI!$BB$3:$BB$9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946367"/>
        <c:axId val="1342852926"/>
      </c:scatterChart>
      <c:valAx>
        <c:axId val="15309463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2852926"/>
      </c:valAx>
      <c:valAx>
        <c:axId val="1342852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0946367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COROUI!$BI$6:$BI$10</c:f>
            </c:numRef>
          </c:xVal>
          <c:yVal>
            <c:numRef>
              <c:f>COROUI!$BJ$6:$BJ$10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210358"/>
        <c:axId val="2048895813"/>
      </c:scatterChart>
      <c:valAx>
        <c:axId val="12962103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8895813"/>
      </c:valAx>
      <c:valAx>
        <c:axId val="2048895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621035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COROUI!$BQ$3:$BQ$5</c:f>
            </c:numRef>
          </c:xVal>
          <c:yVal>
            <c:numRef>
              <c:f>COROUI!$BR$3:$BR$5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923425"/>
        <c:axId val="2083112734"/>
      </c:scatterChart>
      <c:valAx>
        <c:axId val="16719234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3112734"/>
      </c:valAx>
      <c:valAx>
        <c:axId val="208311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1923425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COROUI!$BY$6:$BY$13</c:f>
            </c:numRef>
          </c:xVal>
          <c:yVal>
            <c:numRef>
              <c:f>COROUI!$BZ$6:$BZ$13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904808"/>
        <c:axId val="1406506487"/>
      </c:scatterChart>
      <c:valAx>
        <c:axId val="1613904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6506487"/>
      </c:valAx>
      <c:valAx>
        <c:axId val="1406506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3904808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COROUI!$CG$3:$CG$7</c:f>
            </c:numRef>
          </c:xVal>
          <c:yVal>
            <c:numRef>
              <c:f>COROUI!$CH$3:$CH$7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743427"/>
        <c:axId val="1245242260"/>
      </c:scatterChart>
      <c:valAx>
        <c:axId val="1106743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5242260"/>
      </c:valAx>
      <c:valAx>
        <c:axId val="1245242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674342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COROUI!$CP$3:$CP$7</c:f>
            </c:numRef>
          </c:xVal>
          <c:yVal>
            <c:numRef>
              <c:f>COROUI!$CQ$3:$CQ$7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772835"/>
        <c:axId val="1978258805"/>
      </c:scatterChart>
      <c:valAx>
        <c:axId val="18967728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8258805"/>
      </c:valAx>
      <c:valAx>
        <c:axId val="1978258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6772835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COROUI!$CX$3:$CX$8</c:f>
            </c:numRef>
          </c:xVal>
          <c:yVal>
            <c:numRef>
              <c:f>COROUI!$CY$3:$CY$8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162743"/>
        <c:axId val="1705051670"/>
      </c:scatterChart>
      <c:valAx>
        <c:axId val="17121627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5051670"/>
      </c:valAx>
      <c:valAx>
        <c:axId val="1705051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2162743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COROUI!$DF$3:$DF$9</c:f>
            </c:numRef>
          </c:xVal>
          <c:yVal>
            <c:numRef>
              <c:f>COROUI!$DG$3:$DG$9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509011"/>
        <c:axId val="1331347403"/>
      </c:scatterChart>
      <c:valAx>
        <c:axId val="20995090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1347403"/>
      </c:valAx>
      <c:valAx>
        <c:axId val="1331347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9509011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COROUI!$DN$3:$DN$7</c:f>
            </c:numRef>
          </c:xVal>
          <c:yVal>
            <c:numRef>
              <c:f>COROUI!$DO$3:$DO$7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170996"/>
        <c:axId val="329895461"/>
      </c:scatterChart>
      <c:valAx>
        <c:axId val="12561709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9895461"/>
      </c:valAx>
      <c:valAx>
        <c:axId val="329895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6170996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COROUI!$DV$3:$DV$11</c:f>
            </c:numRef>
          </c:xVal>
          <c:yVal>
            <c:numRef>
              <c:f>COROUI!$DW$3:$DW$11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720375"/>
        <c:axId val="849914350"/>
      </c:scatterChart>
      <c:valAx>
        <c:axId val="1544720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9914350"/>
      </c:valAx>
      <c:valAx>
        <c:axId val="849914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4720375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COROUI!$ED$5:$ED$10</c:f>
            </c:numRef>
          </c:xVal>
          <c:yVal>
            <c:numRef>
              <c:f>COROUI!$EE$5:$EE$10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011084"/>
        <c:axId val="138211019"/>
      </c:scatterChart>
      <c:valAx>
        <c:axId val="19110110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211019"/>
      </c:valAx>
      <c:valAx>
        <c:axId val="138211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1011084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COROUI!$EL$3:$EL$6</c:f>
            </c:numRef>
          </c:xVal>
          <c:yVal>
            <c:numRef>
              <c:f>COROUI!$EM$3:$EM$6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2639"/>
        <c:axId val="53899903"/>
      </c:scatterChart>
      <c:valAx>
        <c:axId val="34826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899903"/>
      </c:valAx>
      <c:valAx>
        <c:axId val="53899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82639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COROUI!$ET$3:$ET$6</c:f>
            </c:numRef>
          </c:xVal>
          <c:yVal>
            <c:numRef>
              <c:f>COROUI!$EU$3:$EU$6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955923"/>
        <c:axId val="146405948"/>
      </c:scatterChart>
      <c:valAx>
        <c:axId val="11409559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405948"/>
      </c:valAx>
      <c:valAx>
        <c:axId val="146405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0955923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COROUI!$FC$3:$FC$5</c:f>
            </c:numRef>
          </c:xVal>
          <c:yVal>
            <c:numRef>
              <c:f>COROUI!$FD$3:$FD$5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283601"/>
        <c:axId val="1473648977"/>
      </c:scatterChart>
      <c:valAx>
        <c:axId val="19762836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3648977"/>
      </c:valAx>
      <c:valAx>
        <c:axId val="1473648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6283601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COROUI!$FK$3:$FK$7</c:f>
            </c:numRef>
          </c:xVal>
          <c:yVal>
            <c:numRef>
              <c:f>COROUI!$FL$3:$FL$7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957480"/>
        <c:axId val="1966975858"/>
      </c:scatterChart>
      <c:valAx>
        <c:axId val="15399574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6975858"/>
      </c:valAx>
      <c:valAx>
        <c:axId val="1966975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995748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COROUI!$FT$3:$FT$7</c:f>
            </c:numRef>
          </c:xVal>
          <c:yVal>
            <c:numRef>
              <c:f>COROUI!$FU$3:$FU$7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659951"/>
        <c:axId val="2104665846"/>
      </c:scatterChart>
      <c:valAx>
        <c:axId val="18056599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4665846"/>
      </c:valAx>
      <c:valAx>
        <c:axId val="2104665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5659951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COSOU!$C$3:$C$11</c:f>
            </c:numRef>
          </c:xVal>
          <c:yVal>
            <c:numRef>
              <c:f>COSOU!$D$3:$D$11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424913"/>
        <c:axId val="1681647884"/>
      </c:scatterChart>
      <c:valAx>
        <c:axId val="13814249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1647884"/>
      </c:valAx>
      <c:valAx>
        <c:axId val="1681647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1424913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COSOU!$K$3:$K$12</c:f>
            </c:numRef>
          </c:xVal>
          <c:yVal>
            <c:numRef>
              <c:f>COSOU!$L$3:$L$12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412794"/>
        <c:axId val="1012049349"/>
      </c:scatterChart>
      <c:valAx>
        <c:axId val="16034127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2049349"/>
      </c:valAx>
      <c:valAx>
        <c:axId val="1012049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3412794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COSOU!$S$6:$S$10</c:f>
            </c:numRef>
          </c:xVal>
          <c:yVal>
            <c:numRef>
              <c:f>COSOU!$T$6:$T$10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667741"/>
        <c:axId val="255785880"/>
      </c:scatterChart>
      <c:valAx>
        <c:axId val="10526677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5785880"/>
      </c:valAx>
      <c:valAx>
        <c:axId val="255785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2667741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COSOU!$AA$4:$AA$10</c:f>
            </c:numRef>
          </c:xVal>
          <c:yVal>
            <c:numRef>
              <c:f>COSOU!$AB$4:$AB$10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05355"/>
        <c:axId val="845304790"/>
      </c:scatterChart>
      <c:valAx>
        <c:axId val="7139053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5304790"/>
      </c:valAx>
      <c:valAx>
        <c:axId val="84530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3905355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COSOU!$AI$6:$AI$10</c:f>
            </c:numRef>
          </c:xVal>
          <c:yVal>
            <c:numRef>
              <c:f>COSOU!$AJ$6:$AJ$10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148329"/>
        <c:axId val="1950817914"/>
      </c:scatterChart>
      <c:valAx>
        <c:axId val="14541483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0817914"/>
      </c:valAx>
      <c:valAx>
        <c:axId val="1950817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148329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COSOU!$AQ$3:$AQ$7</c:f>
            </c:numRef>
          </c:xVal>
          <c:yVal>
            <c:numRef>
              <c:f>COSOU!$AR$3:$AR$7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431362"/>
        <c:axId val="1510877707"/>
      </c:scatterChart>
      <c:valAx>
        <c:axId val="961431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0877707"/>
      </c:valAx>
      <c:valAx>
        <c:axId val="15108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1431362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COSOU!$AZ$3:$AZ$9</c:f>
            </c:numRef>
          </c:xVal>
          <c:yVal>
            <c:numRef>
              <c:f>COSOU!$BA$3:$BA$9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254997"/>
        <c:axId val="405053805"/>
      </c:scatterChart>
      <c:valAx>
        <c:axId val="1048254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5053805"/>
      </c:valAx>
      <c:valAx>
        <c:axId val="405053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8254997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COSOU!$BH$3:$BH$7</c:f>
            </c:numRef>
          </c:xVal>
          <c:yVal>
            <c:numRef>
              <c:f>COSOU!$BI$3:$BI$7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765894"/>
        <c:axId val="2109969915"/>
      </c:scatterChart>
      <c:valAx>
        <c:axId val="16927658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9969915"/>
      </c:valAx>
      <c:valAx>
        <c:axId val="2109969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2765894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COSOU!$BP$7:$BP$16</c:f>
            </c:numRef>
          </c:xVal>
          <c:yVal>
            <c:numRef>
              <c:f>COSOU!$BQ$7:$BQ$16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59150"/>
        <c:axId val="1884352209"/>
      </c:scatterChart>
      <c:valAx>
        <c:axId val="10773591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4352209"/>
      </c:valAx>
      <c:valAx>
        <c:axId val="1884352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7359150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COSOU!$BX$3:$BX$7</c:f>
            </c:numRef>
          </c:xVal>
          <c:yVal>
            <c:numRef>
              <c:f>COSOU!$BY$3:$BY$7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36817"/>
        <c:axId val="863771725"/>
      </c:scatterChart>
      <c:valAx>
        <c:axId val="14119368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3771725"/>
      </c:valAx>
      <c:valAx>
        <c:axId val="863771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1936817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COSOU!$CF$3:$CF$7</c:f>
            </c:numRef>
          </c:xVal>
          <c:yVal>
            <c:numRef>
              <c:f>COSOU!$CG$3:$CG$7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9634"/>
        <c:axId val="80348414"/>
      </c:scatterChart>
      <c:valAx>
        <c:axId val="626696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348414"/>
      </c:valAx>
      <c:valAx>
        <c:axId val="80348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669634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COSOU!$CO$3:$CO$9</c:f>
            </c:numRef>
          </c:xVal>
          <c:yVal>
            <c:numRef>
              <c:f>COSOU!$CP$3:$CP$9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201916"/>
        <c:axId val="1533254445"/>
      </c:scatterChart>
      <c:valAx>
        <c:axId val="20322019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3254445"/>
      </c:valAx>
      <c:valAx>
        <c:axId val="1533254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2201916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COSOU!$CX$3:$CX$7</c:f>
            </c:numRef>
          </c:xVal>
          <c:yVal>
            <c:numRef>
              <c:f>COSOU!$CY$3:$CY$7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10179"/>
        <c:axId val="606372823"/>
      </c:scatterChart>
      <c:valAx>
        <c:axId val="2526101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6372823"/>
      </c:valAx>
      <c:valAx>
        <c:axId val="606372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2610179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COSOU!$DF$6:$DF$11</c:f>
            </c:numRef>
          </c:xVal>
          <c:yVal>
            <c:numRef>
              <c:f>COSOU!$DG$6:$DG$11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98757"/>
        <c:axId val="773736665"/>
      </c:scatterChart>
      <c:valAx>
        <c:axId val="17556987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3736665"/>
      </c:valAx>
      <c:valAx>
        <c:axId val="773736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5698757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COSOU!$DN$3:$DN$6</c:f>
            </c:numRef>
          </c:xVal>
          <c:yVal>
            <c:numRef>
              <c:f>COSOU!$DO$3:$DO$6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540029"/>
        <c:axId val="932962490"/>
      </c:scatterChart>
      <c:valAx>
        <c:axId val="8625400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2962490"/>
      </c:valAx>
      <c:valAx>
        <c:axId val="93296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2540029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COSOU!$DV$3:$DV$10</c:f>
            </c:numRef>
          </c:xVal>
          <c:yVal>
            <c:numRef>
              <c:f>COSOU!$DW$3:$DW$10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157725"/>
        <c:axId val="144974512"/>
      </c:scatterChart>
      <c:valAx>
        <c:axId val="20301577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74512"/>
      </c:valAx>
      <c:valAx>
        <c:axId val="144974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0157725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COSOU!$ED$3:$ED$9</c:f>
            </c:numRef>
          </c:xVal>
          <c:yVal>
            <c:numRef>
              <c:f>COSOU!$EE$3:$EE$9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58093"/>
        <c:axId val="1890800366"/>
      </c:scatterChart>
      <c:valAx>
        <c:axId val="837358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0800366"/>
      </c:valAx>
      <c:valAx>
        <c:axId val="1890800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7358093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COSOU!$EL$3:$EL$7</c:f>
            </c:numRef>
          </c:xVal>
          <c:yVal>
            <c:numRef>
              <c:f>COSOU!$EM$3:$EM$7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12037"/>
        <c:axId val="781420443"/>
      </c:scatterChart>
      <c:valAx>
        <c:axId val="163412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1420443"/>
      </c:valAx>
      <c:valAx>
        <c:axId val="781420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412037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COSOU!$ET$3:$ET$10</c:f>
            </c:numRef>
          </c:xVal>
          <c:yVal>
            <c:numRef>
              <c:f>COSOU!$EU$3:$EU$10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45907"/>
        <c:axId val="2042056655"/>
      </c:scatterChart>
      <c:valAx>
        <c:axId val="7779459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2056655"/>
      </c:valAx>
      <c:valAx>
        <c:axId val="2042056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7945907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COSOU!$FC$3:$FC$12</c:f>
            </c:numRef>
          </c:xVal>
          <c:yVal>
            <c:numRef>
              <c:f>COSOU!$FD$3:$FD$12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4600"/>
        <c:axId val="1014365474"/>
      </c:scatterChart>
      <c:valAx>
        <c:axId val="15483646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4365474"/>
      </c:valAx>
      <c:valAx>
        <c:axId val="1014365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8364600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COSOU!$FK$4:$FK$9</c:f>
            </c:numRef>
          </c:xVal>
          <c:yVal>
            <c:numRef>
              <c:f>COSOU!$FL$4:$FL$9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61531"/>
        <c:axId val="722962332"/>
      </c:scatterChart>
      <c:valAx>
        <c:axId val="18511615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2962332"/>
      </c:valAx>
      <c:valAx>
        <c:axId val="722962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1161531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COSOU!$FS$4:$FS$8</c:f>
            </c:numRef>
          </c:xVal>
          <c:yVal>
            <c:numRef>
              <c:f>COSOU!$FT$4:$FT$8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403597"/>
        <c:axId val="1743601260"/>
      </c:scatterChart>
      <c:valAx>
        <c:axId val="1144403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3601260"/>
      </c:valAx>
      <c:valAx>
        <c:axId val="1743601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4403597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CONTRAINTE MAXIMALE DES FIBRES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Cont(max)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RECCAPITULATIF!$C$31:$D$31</c:f>
            </c:strRef>
          </c:cat>
          <c:val>
            <c:numRef>
              <c:f>RECCAPITULATIF!$C$32:$D$32</c:f>
              <c:numCache/>
            </c:numRef>
          </c:val>
        </c:ser>
        <c:axId val="358596479"/>
        <c:axId val="1587725638"/>
      </c:barChart>
      <c:catAx>
        <c:axId val="35859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587725638"/>
      </c:catAx>
      <c:valAx>
        <c:axId val="158772563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Contrainte Max (MPa)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358596479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DEFORMATION A LA RUPTURE DES FIBRES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Def rupt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RECCAPITULATIF!$I$31:$J$31</c:f>
            </c:strRef>
          </c:cat>
          <c:val>
            <c:numRef>
              <c:f>RECCAPITULATIF!$I$32:$J$32</c:f>
              <c:numCache/>
            </c:numRef>
          </c:val>
        </c:ser>
        <c:axId val="728089502"/>
        <c:axId val="631631331"/>
      </c:barChart>
      <c:catAx>
        <c:axId val="728089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31631331"/>
      </c:catAx>
      <c:valAx>
        <c:axId val="631631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Deformation Rupt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728089502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MODULE D'YOUNG DES FIBRES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E(mpa)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RECCAPITULATIF!$O$31:$P$31</c:f>
            </c:strRef>
          </c:cat>
          <c:val>
            <c:numRef>
              <c:f>RECCAPITULATIF!$O$32:$P$32</c:f>
              <c:numCache/>
            </c:numRef>
          </c:val>
        </c:ser>
        <c:axId val="1130411075"/>
        <c:axId val="1101548414"/>
      </c:barChart>
      <c:catAx>
        <c:axId val="1130411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Varietes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101548414"/>
      </c:catAx>
      <c:valAx>
        <c:axId val="110154841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E(MPa)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130411075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TAUX D'ABSORPTION D'EAU DES FIBRES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TAUX _(%)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'TAUX DABSORPTION DEAU '!$E$8:$F$8</c:f>
            </c:strRef>
          </c:cat>
          <c:val>
            <c:numRef>
              <c:f>'TAUX DABSORPTION DEAU '!$E$9:$F$9</c:f>
              <c:numCache/>
            </c:numRef>
          </c:val>
        </c:ser>
        <c:axId val="1720930277"/>
        <c:axId val="2092340577"/>
      </c:barChart>
      <c:catAx>
        <c:axId val="1720930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092340577"/>
      </c:catAx>
      <c:valAx>
        <c:axId val="20923405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TAUX _(%)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720930277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  <a:r>
              <a:rPr b="1" i="0" sz="1400">
                <a:solidFill>
                  <a:srgbClr val="000000"/>
                </a:solidFill>
                <a:latin typeface="Times New Roman"/>
              </a:rPr>
              <a:t>REPRISE D'HUMIDITE DES FIBRES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TAUX_(%)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'REPRISE DHUMIDITE '!$E$9:$F$9</c:f>
            </c:strRef>
          </c:cat>
          <c:val>
            <c:numRef>
              <c:f>'REPRISE DHUMIDITE '!$E$10:$F$10</c:f>
              <c:numCache/>
            </c:numRef>
          </c:val>
        </c:ser>
        <c:axId val="1646373116"/>
        <c:axId val="629220489"/>
      </c:barChart>
      <c:catAx>
        <c:axId val="1646373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Variétés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29220489"/>
      </c:catAx>
      <c:valAx>
        <c:axId val="629220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RH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46373116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Times New Roman"/>
              </a:defRPr>
            </a:pPr>
            <a:r>
              <a:rPr b="1" i="0" sz="1200">
                <a:solidFill>
                  <a:srgbClr val="000000"/>
                </a:solidFill>
                <a:latin typeface="Times New Roman"/>
              </a:rPr>
              <a:t>MASSE VOLUMIQUE ABSOLUE DES FIBRES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ρ (g/cm³)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'DENSITE ABSOLUE'!$D$10:$E$10</c:f>
            </c:strRef>
          </c:cat>
          <c:val>
            <c:numRef>
              <c:f>'DENSITE ABSOLUE'!$D$11:$E$11</c:f>
              <c:numCache/>
            </c:numRef>
          </c:val>
        </c:ser>
        <c:axId val="727213466"/>
        <c:axId val="950216623"/>
      </c:barChart>
      <c:catAx>
        <c:axId val="727213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Varietes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50216623"/>
      </c:catAx>
      <c:valAx>
        <c:axId val="950216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Densite (g/cm³)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72721346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22" Type="http://schemas.openxmlformats.org/officeDocument/2006/relationships/chart" Target="../charts/chart22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42.xml"/><Relationship Id="rId11" Type="http://schemas.openxmlformats.org/officeDocument/2006/relationships/chart" Target="../charts/chart33.xml"/><Relationship Id="rId22" Type="http://schemas.openxmlformats.org/officeDocument/2006/relationships/chart" Target="../charts/chart44.xml"/><Relationship Id="rId10" Type="http://schemas.openxmlformats.org/officeDocument/2006/relationships/chart" Target="../charts/chart32.xml"/><Relationship Id="rId21" Type="http://schemas.openxmlformats.org/officeDocument/2006/relationships/chart" Target="../charts/chart43.xml"/><Relationship Id="rId13" Type="http://schemas.openxmlformats.org/officeDocument/2006/relationships/chart" Target="../charts/chart35.xml"/><Relationship Id="rId12" Type="http://schemas.openxmlformats.org/officeDocument/2006/relationships/chart" Target="../charts/chart34.xml"/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5" Type="http://schemas.openxmlformats.org/officeDocument/2006/relationships/chart" Target="../charts/chart37.xml"/><Relationship Id="rId14" Type="http://schemas.openxmlformats.org/officeDocument/2006/relationships/chart" Target="../charts/chart36.xml"/><Relationship Id="rId17" Type="http://schemas.openxmlformats.org/officeDocument/2006/relationships/chart" Target="../charts/chart39.xml"/><Relationship Id="rId16" Type="http://schemas.openxmlformats.org/officeDocument/2006/relationships/chart" Target="../charts/chart38.xml"/><Relationship Id="rId5" Type="http://schemas.openxmlformats.org/officeDocument/2006/relationships/chart" Target="../charts/chart27.xml"/><Relationship Id="rId19" Type="http://schemas.openxmlformats.org/officeDocument/2006/relationships/chart" Target="../charts/chart41.xml"/><Relationship Id="rId6" Type="http://schemas.openxmlformats.org/officeDocument/2006/relationships/chart" Target="../charts/chart28.xml"/><Relationship Id="rId18" Type="http://schemas.openxmlformats.org/officeDocument/2006/relationships/chart" Target="../charts/chart40.xml"/><Relationship Id="rId7" Type="http://schemas.openxmlformats.org/officeDocument/2006/relationships/chart" Target="../charts/chart29.xml"/><Relationship Id="rId8" Type="http://schemas.openxmlformats.org/officeDocument/2006/relationships/chart" Target="../charts/chart3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4552950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7</xdr:row>
      <xdr:rowOff>161925</xdr:rowOff>
    </xdr:from>
    <xdr:ext cx="4552950" cy="28860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28575</xdr:colOff>
      <xdr:row>7</xdr:row>
      <xdr:rowOff>133350</xdr:rowOff>
    </xdr:from>
    <xdr:ext cx="4552950" cy="28860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438150</xdr:colOff>
      <xdr:row>7</xdr:row>
      <xdr:rowOff>161925</xdr:rowOff>
    </xdr:from>
    <xdr:ext cx="5162550" cy="28860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32</xdr:col>
      <xdr:colOff>285750</xdr:colOff>
      <xdr:row>7</xdr:row>
      <xdr:rowOff>133350</xdr:rowOff>
    </xdr:from>
    <xdr:ext cx="5162550" cy="28860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41</xdr:col>
      <xdr:colOff>152400</xdr:colOff>
      <xdr:row>7</xdr:row>
      <xdr:rowOff>152400</xdr:rowOff>
    </xdr:from>
    <xdr:ext cx="4552950" cy="28860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49</xdr:col>
      <xdr:colOff>495300</xdr:colOff>
      <xdr:row>7</xdr:row>
      <xdr:rowOff>57150</xdr:rowOff>
    </xdr:from>
    <xdr:ext cx="4552950" cy="28765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57</xdr:col>
      <xdr:colOff>371475</xdr:colOff>
      <xdr:row>7</xdr:row>
      <xdr:rowOff>95250</xdr:rowOff>
    </xdr:from>
    <xdr:ext cx="4552950" cy="28765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65</xdr:col>
      <xdr:colOff>238125</xdr:colOff>
      <xdr:row>7</xdr:row>
      <xdr:rowOff>152400</xdr:rowOff>
    </xdr:from>
    <xdr:ext cx="4552950" cy="288607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73</xdr:col>
      <xdr:colOff>95250</xdr:colOff>
      <xdr:row>7</xdr:row>
      <xdr:rowOff>133350</xdr:rowOff>
    </xdr:from>
    <xdr:ext cx="4552950" cy="288607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81</xdr:col>
      <xdr:colOff>209550</xdr:colOff>
      <xdr:row>8</xdr:row>
      <xdr:rowOff>0</xdr:rowOff>
    </xdr:from>
    <xdr:ext cx="4552950" cy="28765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89</xdr:col>
      <xdr:colOff>95250</xdr:colOff>
      <xdr:row>7</xdr:row>
      <xdr:rowOff>171450</xdr:rowOff>
    </xdr:from>
    <xdr:ext cx="5162550" cy="288607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98</xdr:col>
      <xdr:colOff>314325</xdr:colOff>
      <xdr:row>7</xdr:row>
      <xdr:rowOff>152400</xdr:rowOff>
    </xdr:from>
    <xdr:ext cx="4552950" cy="288607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106</xdr:col>
      <xdr:colOff>161925</xdr:colOff>
      <xdr:row>7</xdr:row>
      <xdr:rowOff>133350</xdr:rowOff>
    </xdr:from>
    <xdr:ext cx="4552950" cy="2886075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114</xdr:col>
      <xdr:colOff>342900</xdr:colOff>
      <xdr:row>8</xdr:row>
      <xdr:rowOff>9525</xdr:rowOff>
    </xdr:from>
    <xdr:ext cx="4552950" cy="287655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122</xdr:col>
      <xdr:colOff>57150</xdr:colOff>
      <xdr:row>8</xdr:row>
      <xdr:rowOff>38100</xdr:rowOff>
    </xdr:from>
    <xdr:ext cx="4552950" cy="287655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130</xdr:col>
      <xdr:colOff>114300</xdr:colOff>
      <xdr:row>8</xdr:row>
      <xdr:rowOff>123825</xdr:rowOff>
    </xdr:from>
    <xdr:ext cx="4552950" cy="2886075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138</xdr:col>
      <xdr:colOff>133350</xdr:colOff>
      <xdr:row>8</xdr:row>
      <xdr:rowOff>76200</xdr:rowOff>
    </xdr:from>
    <xdr:ext cx="4552950" cy="2876550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145</xdr:col>
      <xdr:colOff>600075</xdr:colOff>
      <xdr:row>9</xdr:row>
      <xdr:rowOff>0</xdr:rowOff>
    </xdr:from>
    <xdr:ext cx="4552950" cy="287655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153</xdr:col>
      <xdr:colOff>352425</xdr:colOff>
      <xdr:row>9</xdr:row>
      <xdr:rowOff>38100</xdr:rowOff>
    </xdr:from>
    <xdr:ext cx="5162550" cy="287655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162</xdr:col>
      <xdr:colOff>257175</xdr:colOff>
      <xdr:row>9</xdr:row>
      <xdr:rowOff>28575</xdr:rowOff>
    </xdr:from>
    <xdr:ext cx="4552950" cy="2876550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170</xdr:col>
      <xdr:colOff>257175</xdr:colOff>
      <xdr:row>9</xdr:row>
      <xdr:rowOff>57150</xdr:rowOff>
    </xdr:from>
    <xdr:ext cx="5162550" cy="2876550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104775</xdr:rowOff>
    </xdr:from>
    <xdr:ext cx="4581525" cy="28765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476250</xdr:colOff>
      <xdr:row>5</xdr:row>
      <xdr:rowOff>133350</xdr:rowOff>
    </xdr:from>
    <xdr:ext cx="4591050" cy="28860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276225</xdr:colOff>
      <xdr:row>6</xdr:row>
      <xdr:rowOff>9525</xdr:rowOff>
    </xdr:from>
    <xdr:ext cx="4581525" cy="28765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276225</xdr:colOff>
      <xdr:row>6</xdr:row>
      <xdr:rowOff>38100</xdr:rowOff>
    </xdr:from>
    <xdr:ext cx="4581525" cy="28765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31</xdr:col>
      <xdr:colOff>438150</xdr:colOff>
      <xdr:row>5</xdr:row>
      <xdr:rowOff>152400</xdr:rowOff>
    </xdr:from>
    <xdr:ext cx="4591050" cy="28860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39</xdr:col>
      <xdr:colOff>333375</xdr:colOff>
      <xdr:row>6</xdr:row>
      <xdr:rowOff>0</xdr:rowOff>
    </xdr:from>
    <xdr:ext cx="4591050" cy="28765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47</xdr:col>
      <xdr:colOff>238125</xdr:colOff>
      <xdr:row>6</xdr:row>
      <xdr:rowOff>66675</xdr:rowOff>
    </xdr:from>
    <xdr:ext cx="5191125" cy="287655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55</xdr:col>
      <xdr:colOff>571500</xdr:colOff>
      <xdr:row>4</xdr:row>
      <xdr:rowOff>57150</xdr:rowOff>
    </xdr:from>
    <xdr:ext cx="4591050" cy="28765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63</xdr:col>
      <xdr:colOff>381000</xdr:colOff>
      <xdr:row>5</xdr:row>
      <xdr:rowOff>38100</xdr:rowOff>
    </xdr:from>
    <xdr:ext cx="4591050" cy="287655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71</xdr:col>
      <xdr:colOff>276225</xdr:colOff>
      <xdr:row>5</xdr:row>
      <xdr:rowOff>57150</xdr:rowOff>
    </xdr:from>
    <xdr:ext cx="4581525" cy="287655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79</xdr:col>
      <xdr:colOff>314325</xdr:colOff>
      <xdr:row>5</xdr:row>
      <xdr:rowOff>142875</xdr:rowOff>
    </xdr:from>
    <xdr:ext cx="4591050" cy="28860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87</xdr:col>
      <xdr:colOff>333375</xdr:colOff>
      <xdr:row>5</xdr:row>
      <xdr:rowOff>161925</xdr:rowOff>
    </xdr:from>
    <xdr:ext cx="5200650" cy="288607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96</xdr:col>
      <xdr:colOff>581025</xdr:colOff>
      <xdr:row>5</xdr:row>
      <xdr:rowOff>133350</xdr:rowOff>
    </xdr:from>
    <xdr:ext cx="5200650" cy="2886075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105</xdr:col>
      <xdr:colOff>504825</xdr:colOff>
      <xdr:row>5</xdr:row>
      <xdr:rowOff>180975</xdr:rowOff>
    </xdr:from>
    <xdr:ext cx="4591050" cy="2886075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113</xdr:col>
      <xdr:colOff>504825</xdr:colOff>
      <xdr:row>6</xdr:row>
      <xdr:rowOff>0</xdr:rowOff>
    </xdr:from>
    <xdr:ext cx="4591050" cy="287655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121</xdr:col>
      <xdr:colOff>561975</xdr:colOff>
      <xdr:row>5</xdr:row>
      <xdr:rowOff>152400</xdr:rowOff>
    </xdr:from>
    <xdr:ext cx="4591050" cy="2886075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130</xdr:col>
      <xdr:colOff>47625</xdr:colOff>
      <xdr:row>6</xdr:row>
      <xdr:rowOff>19050</xdr:rowOff>
    </xdr:from>
    <xdr:ext cx="4581525" cy="2876550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137</xdr:col>
      <xdr:colOff>514350</xdr:colOff>
      <xdr:row>6</xdr:row>
      <xdr:rowOff>19050</xdr:rowOff>
    </xdr:from>
    <xdr:ext cx="4591050" cy="2876550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145</xdr:col>
      <xdr:colOff>371475</xdr:colOff>
      <xdr:row>5</xdr:row>
      <xdr:rowOff>180975</xdr:rowOff>
    </xdr:from>
    <xdr:ext cx="4591050" cy="2886075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153</xdr:col>
      <xdr:colOff>428625</xdr:colOff>
      <xdr:row>5</xdr:row>
      <xdr:rowOff>180975</xdr:rowOff>
    </xdr:from>
    <xdr:ext cx="5200650" cy="2886075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162</xdr:col>
      <xdr:colOff>381000</xdr:colOff>
      <xdr:row>5</xdr:row>
      <xdr:rowOff>133350</xdr:rowOff>
    </xdr:from>
    <xdr:ext cx="4591050" cy="2886075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170</xdr:col>
      <xdr:colOff>323850</xdr:colOff>
      <xdr:row>5</xdr:row>
      <xdr:rowOff>133350</xdr:rowOff>
    </xdr:from>
    <xdr:ext cx="4591050" cy="2886075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33</xdr:row>
      <xdr:rowOff>180975</xdr:rowOff>
    </xdr:from>
    <xdr:ext cx="3057525" cy="4162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723900</xdr:colOff>
      <xdr:row>33</xdr:row>
      <xdr:rowOff>142875</xdr:rowOff>
    </xdr:from>
    <xdr:ext cx="3257550" cy="41719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</xdr:colOff>
      <xdr:row>34</xdr:row>
      <xdr:rowOff>19050</xdr:rowOff>
    </xdr:from>
    <xdr:ext cx="3600450" cy="40386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10</xdr:row>
      <xdr:rowOff>161925</xdr:rowOff>
    </xdr:from>
    <xdr:ext cx="4286250" cy="28860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11</xdr:row>
      <xdr:rowOff>171450</xdr:rowOff>
    </xdr:from>
    <xdr:ext cx="4286250" cy="288607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161925</xdr:rowOff>
    </xdr:from>
    <xdr:ext cx="4048125" cy="27908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29"/>
    <col customWidth="1" min="8" max="14" width="10.71"/>
    <col customWidth="1" min="15" max="15" width="18.29"/>
    <col customWidth="1" min="16" max="26" width="10.71"/>
  </cols>
  <sheetData>
    <row r="1">
      <c r="B1" s="1" t="s">
        <v>0</v>
      </c>
      <c r="I1" s="1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>
      <c r="A3" s="2" t="s">
        <v>8</v>
      </c>
      <c r="B3" s="2">
        <v>0.205</v>
      </c>
      <c r="C3" s="2">
        <v>0.131</v>
      </c>
      <c r="D3" s="2">
        <v>0.18</v>
      </c>
      <c r="E3" s="3">
        <f t="shared" ref="E3:E24" si="1">AVERAGE(B3:D3)</f>
        <v>0.172</v>
      </c>
      <c r="F3" s="3">
        <f t="shared" ref="F3:F24" si="2">3.14*E3*E3/4</f>
        <v>0.02322344</v>
      </c>
      <c r="G3" s="4">
        <f>AVERAGE(E3:E24)</f>
        <v>0.1963484848</v>
      </c>
      <c r="I3" s="2" t="s">
        <v>8</v>
      </c>
      <c r="J3" s="2">
        <v>0.477</v>
      </c>
      <c r="K3" s="2">
        <v>0.25</v>
      </c>
      <c r="L3" s="2">
        <v>0.36</v>
      </c>
      <c r="M3" s="3">
        <f t="shared" ref="M3:M24" si="3">AVERAGE(J3:L3)</f>
        <v>0.3623333333</v>
      </c>
      <c r="N3" s="3">
        <f t="shared" ref="N3:N24" si="4">3.14*M3*M3/4</f>
        <v>0.1030590739</v>
      </c>
      <c r="O3" s="4">
        <f>AVERAGE(M3:M24)</f>
        <v>0.2656969697</v>
      </c>
    </row>
    <row r="4">
      <c r="A4" s="2" t="s">
        <v>9</v>
      </c>
      <c r="B4" s="2">
        <v>0.164</v>
      </c>
      <c r="C4" s="2">
        <v>0.135</v>
      </c>
      <c r="D4" s="2">
        <v>0.311</v>
      </c>
      <c r="E4" s="3">
        <f t="shared" si="1"/>
        <v>0.2033333333</v>
      </c>
      <c r="F4" s="3">
        <f t="shared" si="2"/>
        <v>0.03245538889</v>
      </c>
      <c r="I4" s="2" t="s">
        <v>9</v>
      </c>
      <c r="J4" s="2">
        <v>0.38</v>
      </c>
      <c r="K4" s="2">
        <v>0.396</v>
      </c>
      <c r="L4" s="2">
        <v>0.436</v>
      </c>
      <c r="M4" s="3">
        <f t="shared" si="3"/>
        <v>0.404</v>
      </c>
      <c r="N4" s="3">
        <f t="shared" si="4"/>
        <v>0.12812456</v>
      </c>
    </row>
    <row r="5">
      <c r="A5" s="2" t="s">
        <v>10</v>
      </c>
      <c r="B5" s="2">
        <v>0.166</v>
      </c>
      <c r="C5" s="2">
        <v>0.177</v>
      </c>
      <c r="D5" s="2">
        <v>0.221</v>
      </c>
      <c r="E5" s="3">
        <f t="shared" si="1"/>
        <v>0.188</v>
      </c>
      <c r="F5" s="3">
        <f t="shared" si="2"/>
        <v>0.02774504</v>
      </c>
      <c r="I5" s="2" t="s">
        <v>10</v>
      </c>
      <c r="J5" s="2">
        <v>0.289</v>
      </c>
      <c r="K5" s="2">
        <v>0.23</v>
      </c>
      <c r="L5" s="2">
        <v>0.332</v>
      </c>
      <c r="M5" s="3">
        <f t="shared" si="3"/>
        <v>0.2836666667</v>
      </c>
      <c r="N5" s="3">
        <f t="shared" si="4"/>
        <v>0.06316642056</v>
      </c>
    </row>
    <row r="6">
      <c r="A6" s="2" t="s">
        <v>11</v>
      </c>
      <c r="B6" s="2">
        <v>0.305</v>
      </c>
      <c r="C6" s="2">
        <v>0.349</v>
      </c>
      <c r="D6" s="2">
        <v>0.352</v>
      </c>
      <c r="E6" s="3">
        <f t="shared" si="1"/>
        <v>0.3353333333</v>
      </c>
      <c r="F6" s="3">
        <f t="shared" si="2"/>
        <v>0.08827202889</v>
      </c>
      <c r="I6" s="2" t="s">
        <v>11</v>
      </c>
      <c r="J6" s="2">
        <v>0.101</v>
      </c>
      <c r="K6" s="2">
        <v>0.075</v>
      </c>
      <c r="L6" s="2">
        <v>0.117</v>
      </c>
      <c r="M6" s="3">
        <f t="shared" si="3"/>
        <v>0.09766666667</v>
      </c>
      <c r="N6" s="3">
        <f t="shared" si="4"/>
        <v>0.007487940556</v>
      </c>
    </row>
    <row r="7">
      <c r="A7" s="2" t="s">
        <v>12</v>
      </c>
      <c r="B7" s="2">
        <v>0.206</v>
      </c>
      <c r="C7" s="2">
        <v>0.387</v>
      </c>
      <c r="D7" s="2">
        <v>0.234</v>
      </c>
      <c r="E7" s="3">
        <f t="shared" si="1"/>
        <v>0.2756666667</v>
      </c>
      <c r="F7" s="3">
        <f t="shared" si="2"/>
        <v>0.05965380722</v>
      </c>
      <c r="I7" s="2" t="s">
        <v>12</v>
      </c>
      <c r="J7" s="2">
        <v>0.257</v>
      </c>
      <c r="K7" s="2">
        <v>0.286</v>
      </c>
      <c r="L7" s="2">
        <v>0.24</v>
      </c>
      <c r="M7" s="3">
        <f t="shared" si="3"/>
        <v>0.261</v>
      </c>
      <c r="N7" s="3">
        <f t="shared" si="4"/>
        <v>0.053474985</v>
      </c>
    </row>
    <row r="8">
      <c r="A8" s="2" t="s">
        <v>13</v>
      </c>
      <c r="B8" s="2">
        <v>0.268</v>
      </c>
      <c r="C8" s="2">
        <v>0.224</v>
      </c>
      <c r="D8" s="2">
        <v>0.242</v>
      </c>
      <c r="E8" s="3">
        <f t="shared" si="1"/>
        <v>0.2446666667</v>
      </c>
      <c r="F8" s="3">
        <f t="shared" si="2"/>
        <v>0.04699149556</v>
      </c>
      <c r="I8" s="2" t="s">
        <v>13</v>
      </c>
      <c r="J8" s="2">
        <v>0.235</v>
      </c>
      <c r="K8" s="2">
        <v>0.281</v>
      </c>
      <c r="L8" s="2">
        <v>0.324</v>
      </c>
      <c r="M8" s="3">
        <f t="shared" si="3"/>
        <v>0.28</v>
      </c>
      <c r="N8" s="3">
        <f t="shared" si="4"/>
        <v>0.061544</v>
      </c>
    </row>
    <row r="9">
      <c r="A9" s="2" t="s">
        <v>14</v>
      </c>
      <c r="B9" s="2">
        <v>0.177</v>
      </c>
      <c r="C9" s="2">
        <v>0.237</v>
      </c>
      <c r="D9" s="2">
        <v>0.27</v>
      </c>
      <c r="E9" s="3">
        <f t="shared" si="1"/>
        <v>0.228</v>
      </c>
      <c r="F9" s="3">
        <f t="shared" si="2"/>
        <v>0.04080744</v>
      </c>
      <c r="I9" s="2" t="s">
        <v>14</v>
      </c>
      <c r="J9" s="2">
        <v>0.412</v>
      </c>
      <c r="K9" s="2">
        <v>0.36</v>
      </c>
      <c r="L9" s="2">
        <v>0.382</v>
      </c>
      <c r="M9" s="3">
        <f t="shared" si="3"/>
        <v>0.3846666667</v>
      </c>
      <c r="N9" s="3">
        <f t="shared" si="4"/>
        <v>0.1161552289</v>
      </c>
    </row>
    <row r="10">
      <c r="A10" s="2" t="s">
        <v>15</v>
      </c>
      <c r="B10" s="2">
        <v>0.219</v>
      </c>
      <c r="C10" s="2">
        <v>0.049</v>
      </c>
      <c r="D10" s="2">
        <v>0.264</v>
      </c>
      <c r="E10" s="3">
        <f t="shared" si="1"/>
        <v>0.1773333333</v>
      </c>
      <c r="F10" s="3">
        <f t="shared" si="2"/>
        <v>0.02468598222</v>
      </c>
      <c r="I10" s="2" t="s">
        <v>15</v>
      </c>
      <c r="J10" s="2">
        <v>0.327</v>
      </c>
      <c r="K10" s="2">
        <v>0.296</v>
      </c>
      <c r="L10" s="2">
        <v>0.262</v>
      </c>
      <c r="M10" s="3">
        <f t="shared" si="3"/>
        <v>0.295</v>
      </c>
      <c r="N10" s="3">
        <f t="shared" si="4"/>
        <v>0.068314625</v>
      </c>
    </row>
    <row r="11">
      <c r="A11" s="2" t="s">
        <v>16</v>
      </c>
      <c r="B11" s="2">
        <v>0.543</v>
      </c>
      <c r="C11" s="2">
        <v>0.416</v>
      </c>
      <c r="D11" s="2">
        <v>0.354</v>
      </c>
      <c r="E11" s="3">
        <f t="shared" si="1"/>
        <v>0.4376666667</v>
      </c>
      <c r="F11" s="3">
        <f t="shared" si="2"/>
        <v>0.1503684072</v>
      </c>
      <c r="I11" s="2" t="s">
        <v>16</v>
      </c>
      <c r="J11" s="2">
        <v>0.077</v>
      </c>
      <c r="K11" s="2">
        <v>0.079</v>
      </c>
      <c r="L11" s="2">
        <v>0.092</v>
      </c>
      <c r="M11" s="3">
        <f t="shared" si="3"/>
        <v>0.08266666667</v>
      </c>
      <c r="N11" s="3">
        <f t="shared" si="4"/>
        <v>0.005364515556</v>
      </c>
    </row>
    <row r="12">
      <c r="A12" s="2" t="s">
        <v>17</v>
      </c>
      <c r="B12" s="2">
        <v>0.242</v>
      </c>
      <c r="C12" s="2">
        <v>0.06</v>
      </c>
      <c r="D12" s="2">
        <v>0.221</v>
      </c>
      <c r="E12" s="3">
        <f t="shared" si="1"/>
        <v>0.1743333333</v>
      </c>
      <c r="F12" s="3">
        <f t="shared" si="2"/>
        <v>0.02385780722</v>
      </c>
      <c r="I12" s="2" t="s">
        <v>17</v>
      </c>
      <c r="J12" s="2">
        <v>0.099</v>
      </c>
      <c r="K12" s="2">
        <v>0.261</v>
      </c>
      <c r="L12" s="2">
        <v>0.113</v>
      </c>
      <c r="M12" s="3">
        <f t="shared" si="3"/>
        <v>0.1576666667</v>
      </c>
      <c r="N12" s="3">
        <f t="shared" si="4"/>
        <v>0.01951414056</v>
      </c>
    </row>
    <row r="13">
      <c r="A13" s="2" t="s">
        <v>18</v>
      </c>
      <c r="B13" s="2">
        <v>0.36</v>
      </c>
      <c r="C13" s="2">
        <v>0.494</v>
      </c>
      <c r="D13" s="2">
        <v>0.205</v>
      </c>
      <c r="E13" s="3">
        <f t="shared" si="1"/>
        <v>0.353</v>
      </c>
      <c r="F13" s="3">
        <f t="shared" si="2"/>
        <v>0.097818065</v>
      </c>
      <c r="I13" s="2" t="s">
        <v>18</v>
      </c>
      <c r="J13" s="2">
        <v>0.394</v>
      </c>
      <c r="K13" s="2">
        <v>0.187</v>
      </c>
      <c r="L13" s="2">
        <v>0.121</v>
      </c>
      <c r="M13" s="3">
        <f t="shared" si="3"/>
        <v>0.234</v>
      </c>
      <c r="N13" s="3">
        <f t="shared" si="4"/>
        <v>0.04298346</v>
      </c>
    </row>
    <row r="14">
      <c r="A14" s="2" t="s">
        <v>19</v>
      </c>
      <c r="B14" s="2">
        <v>0.152</v>
      </c>
      <c r="C14" s="2">
        <v>0.15</v>
      </c>
      <c r="D14" s="2">
        <v>0.161</v>
      </c>
      <c r="E14" s="3">
        <f t="shared" si="1"/>
        <v>0.1543333333</v>
      </c>
      <c r="F14" s="3">
        <f t="shared" si="2"/>
        <v>0.01869774056</v>
      </c>
      <c r="I14" s="2" t="s">
        <v>19</v>
      </c>
      <c r="J14" s="2">
        <v>0.118</v>
      </c>
      <c r="K14" s="2">
        <v>0.106</v>
      </c>
      <c r="L14" s="2">
        <v>0.173</v>
      </c>
      <c r="M14" s="3">
        <f t="shared" si="3"/>
        <v>0.1323333333</v>
      </c>
      <c r="N14" s="3">
        <f t="shared" si="4"/>
        <v>0.01374700722</v>
      </c>
    </row>
    <row r="15">
      <c r="A15" s="2" t="s">
        <v>20</v>
      </c>
      <c r="B15" s="2">
        <v>0.139</v>
      </c>
      <c r="C15" s="2">
        <v>0.19</v>
      </c>
      <c r="D15" s="2">
        <v>0.258</v>
      </c>
      <c r="E15" s="3">
        <f t="shared" si="1"/>
        <v>0.1956666667</v>
      </c>
      <c r="F15" s="3">
        <f t="shared" si="2"/>
        <v>0.03005407389</v>
      </c>
      <c r="I15" s="2" t="s">
        <v>20</v>
      </c>
      <c r="J15" s="2">
        <v>0.252</v>
      </c>
      <c r="K15" s="2">
        <v>0.32</v>
      </c>
      <c r="L15" s="2">
        <v>0.095</v>
      </c>
      <c r="M15" s="3">
        <f t="shared" si="3"/>
        <v>0.2223333333</v>
      </c>
      <c r="N15" s="3">
        <f t="shared" si="4"/>
        <v>0.03880420722</v>
      </c>
    </row>
    <row r="16">
      <c r="A16" s="2" t="s">
        <v>21</v>
      </c>
      <c r="B16" s="2">
        <v>0.118</v>
      </c>
      <c r="C16" s="2">
        <v>0.156</v>
      </c>
      <c r="D16" s="2">
        <v>0.163</v>
      </c>
      <c r="E16" s="3">
        <f t="shared" si="1"/>
        <v>0.1456666667</v>
      </c>
      <c r="F16" s="3">
        <f t="shared" si="2"/>
        <v>0.01665674056</v>
      </c>
      <c r="I16" s="2" t="s">
        <v>21</v>
      </c>
      <c r="J16" s="2">
        <v>0.303</v>
      </c>
      <c r="K16" s="2">
        <v>0.438</v>
      </c>
      <c r="L16" s="2">
        <v>0.435</v>
      </c>
      <c r="M16" s="3">
        <f t="shared" si="3"/>
        <v>0.392</v>
      </c>
      <c r="N16" s="3">
        <f t="shared" si="4"/>
        <v>0.12062624</v>
      </c>
    </row>
    <row r="17">
      <c r="A17" s="2" t="s">
        <v>22</v>
      </c>
      <c r="B17" s="2">
        <v>0.098</v>
      </c>
      <c r="C17" s="2">
        <v>0.091</v>
      </c>
      <c r="D17" s="2">
        <v>0.101</v>
      </c>
      <c r="E17" s="3">
        <f t="shared" si="1"/>
        <v>0.09666666667</v>
      </c>
      <c r="F17" s="3">
        <f t="shared" si="2"/>
        <v>0.007335388889</v>
      </c>
      <c r="I17" s="2" t="s">
        <v>22</v>
      </c>
      <c r="J17" s="2">
        <v>0.253</v>
      </c>
      <c r="K17" s="2">
        <v>0.172</v>
      </c>
      <c r="L17" s="2">
        <v>0.168</v>
      </c>
      <c r="M17" s="3">
        <f t="shared" si="3"/>
        <v>0.1976666667</v>
      </c>
      <c r="N17" s="3">
        <f t="shared" si="4"/>
        <v>0.03067160722</v>
      </c>
    </row>
    <row r="18">
      <c r="A18" s="2" t="s">
        <v>23</v>
      </c>
      <c r="B18" s="2">
        <v>0.099</v>
      </c>
      <c r="C18" s="2">
        <v>0.083</v>
      </c>
      <c r="D18" s="2">
        <v>0.127</v>
      </c>
      <c r="E18" s="3">
        <f t="shared" si="1"/>
        <v>0.103</v>
      </c>
      <c r="F18" s="3">
        <f t="shared" si="2"/>
        <v>0.008328065</v>
      </c>
      <c r="I18" s="2" t="s">
        <v>23</v>
      </c>
      <c r="J18" s="2">
        <v>0.473</v>
      </c>
      <c r="K18" s="2">
        <v>0.5</v>
      </c>
      <c r="L18" s="2">
        <v>0.387</v>
      </c>
      <c r="M18" s="3">
        <f t="shared" si="3"/>
        <v>0.4533333333</v>
      </c>
      <c r="N18" s="3">
        <f t="shared" si="4"/>
        <v>0.1613262222</v>
      </c>
    </row>
    <row r="19">
      <c r="A19" s="2" t="s">
        <v>24</v>
      </c>
      <c r="B19" s="2">
        <v>0.074</v>
      </c>
      <c r="C19" s="2">
        <v>0.118</v>
      </c>
      <c r="D19" s="2">
        <v>0.225</v>
      </c>
      <c r="E19" s="3">
        <f t="shared" si="1"/>
        <v>0.139</v>
      </c>
      <c r="F19" s="3">
        <f t="shared" si="2"/>
        <v>0.015166985</v>
      </c>
      <c r="I19" s="2" t="s">
        <v>24</v>
      </c>
      <c r="J19" s="2">
        <v>0.318</v>
      </c>
      <c r="K19" s="2">
        <v>0.167</v>
      </c>
      <c r="L19" s="2">
        <v>0.3</v>
      </c>
      <c r="M19" s="3">
        <f t="shared" si="3"/>
        <v>0.2616666667</v>
      </c>
      <c r="N19" s="3">
        <f t="shared" si="4"/>
        <v>0.05374851389</v>
      </c>
    </row>
    <row r="20">
      <c r="A20" s="2" t="s">
        <v>25</v>
      </c>
      <c r="B20" s="2">
        <v>0.158</v>
      </c>
      <c r="C20" s="2">
        <v>0.09</v>
      </c>
      <c r="D20" s="2">
        <v>0.097</v>
      </c>
      <c r="E20" s="3">
        <f t="shared" si="1"/>
        <v>0.115</v>
      </c>
      <c r="F20" s="3">
        <f t="shared" si="2"/>
        <v>0.010381625</v>
      </c>
      <c r="I20" s="2" t="s">
        <v>25</v>
      </c>
      <c r="J20" s="2">
        <v>0.099</v>
      </c>
      <c r="K20" s="2">
        <v>0.146</v>
      </c>
      <c r="L20" s="2">
        <v>0.14</v>
      </c>
      <c r="M20" s="3">
        <f t="shared" si="3"/>
        <v>0.1283333333</v>
      </c>
      <c r="N20" s="3">
        <f t="shared" si="4"/>
        <v>0.01292851389</v>
      </c>
    </row>
    <row r="21" ht="15.75" customHeight="1">
      <c r="A21" s="2" t="s">
        <v>26</v>
      </c>
      <c r="B21" s="2">
        <v>0.21</v>
      </c>
      <c r="C21" s="2">
        <v>0.098</v>
      </c>
      <c r="D21" s="2">
        <v>0.19</v>
      </c>
      <c r="E21" s="3">
        <f t="shared" si="1"/>
        <v>0.166</v>
      </c>
      <c r="F21" s="3">
        <f t="shared" si="2"/>
        <v>0.02163146</v>
      </c>
      <c r="I21" s="2" t="s">
        <v>26</v>
      </c>
      <c r="J21" s="2">
        <v>0.66</v>
      </c>
      <c r="K21" s="2">
        <v>0.729</v>
      </c>
      <c r="L21" s="2">
        <v>0.685</v>
      </c>
      <c r="M21" s="3">
        <f t="shared" si="3"/>
        <v>0.6913333333</v>
      </c>
      <c r="N21" s="3">
        <f t="shared" si="4"/>
        <v>0.3751842956</v>
      </c>
    </row>
    <row r="22" ht="15.75" customHeight="1">
      <c r="A22" s="2" t="s">
        <v>27</v>
      </c>
      <c r="B22" s="2">
        <v>0.091</v>
      </c>
      <c r="C22" s="2">
        <v>0.04</v>
      </c>
      <c r="D22" s="2">
        <v>0.036</v>
      </c>
      <c r="E22" s="3">
        <f t="shared" si="1"/>
        <v>0.05566666667</v>
      </c>
      <c r="F22" s="3">
        <f t="shared" si="2"/>
        <v>0.002432540556</v>
      </c>
      <c r="I22" s="2" t="s">
        <v>27</v>
      </c>
      <c r="J22" s="2">
        <v>0.109</v>
      </c>
      <c r="K22" s="2">
        <v>0.146</v>
      </c>
      <c r="L22" s="2">
        <v>0.148</v>
      </c>
      <c r="M22" s="3">
        <f t="shared" si="3"/>
        <v>0.1343333333</v>
      </c>
      <c r="N22" s="3">
        <f t="shared" si="4"/>
        <v>0.01416567389</v>
      </c>
    </row>
    <row r="23" ht="15.75" customHeight="1">
      <c r="A23" s="2" t="s">
        <v>28</v>
      </c>
      <c r="B23" s="2">
        <v>0.108</v>
      </c>
      <c r="C23" s="2">
        <v>0.116</v>
      </c>
      <c r="D23" s="2">
        <v>0.146</v>
      </c>
      <c r="E23" s="3">
        <f t="shared" si="1"/>
        <v>0.1233333333</v>
      </c>
      <c r="F23" s="3">
        <f t="shared" si="2"/>
        <v>0.01194072222</v>
      </c>
      <c r="I23" s="2" t="s">
        <v>28</v>
      </c>
      <c r="J23" s="2">
        <v>0.368</v>
      </c>
      <c r="K23" s="2">
        <v>0.302</v>
      </c>
      <c r="L23" s="2">
        <v>0.223</v>
      </c>
      <c r="M23" s="3">
        <f t="shared" si="3"/>
        <v>0.2976666667</v>
      </c>
      <c r="N23" s="3">
        <f t="shared" si="4"/>
        <v>0.06955527389</v>
      </c>
    </row>
    <row r="24" ht="15.75" customHeight="1">
      <c r="A24" s="2" t="s">
        <v>29</v>
      </c>
      <c r="B24" s="2">
        <v>0.224</v>
      </c>
      <c r="C24" s="2">
        <v>0.291</v>
      </c>
      <c r="D24" s="2">
        <v>0.193</v>
      </c>
      <c r="E24" s="3">
        <f t="shared" si="1"/>
        <v>0.236</v>
      </c>
      <c r="F24" s="3">
        <f t="shared" si="2"/>
        <v>0.04372136</v>
      </c>
      <c r="I24" s="2" t="s">
        <v>29</v>
      </c>
      <c r="J24" s="2">
        <v>0.087</v>
      </c>
      <c r="K24" s="2">
        <v>0.138</v>
      </c>
      <c r="L24" s="2">
        <v>0.05</v>
      </c>
      <c r="M24" s="3">
        <f t="shared" si="3"/>
        <v>0.09166666667</v>
      </c>
      <c r="N24" s="3">
        <f t="shared" si="4"/>
        <v>0.006596180556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I1:N1"/>
    <mergeCell ref="G3:G24"/>
    <mergeCell ref="O3:O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14"/>
    <col customWidth="1" hidden="1" min="25" max="25" width="9.14"/>
    <col customWidth="1" min="26" max="33" width="9.14"/>
    <col customWidth="1" hidden="1" min="34" max="34" width="9.14"/>
    <col customWidth="1" min="35" max="40" width="9.14"/>
    <col customWidth="1" min="41" max="41" width="9.0"/>
    <col customWidth="1" min="42" max="90" width="9.14"/>
    <col customWidth="1" hidden="1" min="91" max="91" width="9.14"/>
    <col customWidth="1" min="92" max="155" width="9.14"/>
    <col customWidth="1" hidden="1" min="156" max="156" width="9.14"/>
    <col customWidth="1" min="157" max="172" width="9.14"/>
    <col customWidth="1" hidden="1" min="173" max="173" width="9.14"/>
    <col customWidth="1" min="174" max="180" width="9.14"/>
  </cols>
  <sheetData>
    <row r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I1" s="2" t="s">
        <v>54</v>
      </c>
      <c r="J1" s="2" t="s">
        <v>55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Q1" s="2" t="s">
        <v>56</v>
      </c>
      <c r="R1" s="2" t="s">
        <v>57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Y1" s="2" t="s">
        <v>58</v>
      </c>
      <c r="Z1" s="2" t="s">
        <v>58</v>
      </c>
      <c r="AA1" s="2" t="s">
        <v>59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H1" s="2" t="s">
        <v>60</v>
      </c>
      <c r="AI1" s="2" t="s">
        <v>60</v>
      </c>
      <c r="AJ1" s="2" t="s">
        <v>61</v>
      </c>
      <c r="AK1" s="2" t="s">
        <v>49</v>
      </c>
      <c r="AL1" s="2" t="s">
        <v>50</v>
      </c>
      <c r="AM1" s="2" t="s">
        <v>51</v>
      </c>
      <c r="AN1" s="2" t="s">
        <v>52</v>
      </c>
      <c r="AO1" s="2" t="s">
        <v>53</v>
      </c>
      <c r="AQ1" s="2" t="s">
        <v>62</v>
      </c>
      <c r="AR1" s="2" t="s">
        <v>63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Y1" s="2" t="s">
        <v>64</v>
      </c>
      <c r="AZ1" s="2" t="s">
        <v>65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G1" s="2" t="s">
        <v>66</v>
      </c>
      <c r="BH1" s="2" t="s">
        <v>67</v>
      </c>
      <c r="BI1" s="2" t="s">
        <v>49</v>
      </c>
      <c r="BJ1" s="2" t="s">
        <v>50</v>
      </c>
      <c r="BK1" s="2" t="s">
        <v>51</v>
      </c>
      <c r="BL1" s="2" t="s">
        <v>52</v>
      </c>
      <c r="BM1" s="2" t="s">
        <v>53</v>
      </c>
      <c r="BO1" s="2" t="s">
        <v>68</v>
      </c>
      <c r="BP1" s="2" t="s">
        <v>69</v>
      </c>
      <c r="BQ1" s="2" t="s">
        <v>49</v>
      </c>
      <c r="BR1" s="2" t="s">
        <v>50</v>
      </c>
      <c r="BS1" s="2" t="s">
        <v>51</v>
      </c>
      <c r="BT1" s="2" t="s">
        <v>52</v>
      </c>
      <c r="BU1" s="2" t="s">
        <v>53</v>
      </c>
      <c r="BW1" s="2" t="s">
        <v>70</v>
      </c>
      <c r="BX1" s="2" t="s">
        <v>71</v>
      </c>
      <c r="BY1" s="2" t="s">
        <v>49</v>
      </c>
      <c r="BZ1" s="2" t="s">
        <v>50</v>
      </c>
      <c r="CA1" s="2" t="s">
        <v>51</v>
      </c>
      <c r="CB1" s="2" t="s">
        <v>52</v>
      </c>
      <c r="CC1" s="2" t="s">
        <v>53</v>
      </c>
      <c r="CE1" s="2" t="s">
        <v>72</v>
      </c>
      <c r="CF1" s="2" t="s">
        <v>73</v>
      </c>
      <c r="CG1" s="2" t="s">
        <v>49</v>
      </c>
      <c r="CH1" s="2" t="s">
        <v>50</v>
      </c>
      <c r="CI1" s="2" t="s">
        <v>51</v>
      </c>
      <c r="CJ1" s="2" t="s">
        <v>52</v>
      </c>
      <c r="CK1" s="2" t="s">
        <v>53</v>
      </c>
      <c r="CM1" s="2" t="s">
        <v>74</v>
      </c>
      <c r="CN1" s="2" t="s">
        <v>74</v>
      </c>
      <c r="CO1" s="2" t="s">
        <v>75</v>
      </c>
      <c r="CP1" s="2" t="s">
        <v>49</v>
      </c>
      <c r="CQ1" s="2" t="s">
        <v>50</v>
      </c>
      <c r="CR1" s="2" t="s">
        <v>51</v>
      </c>
      <c r="CS1" s="2" t="s">
        <v>52</v>
      </c>
      <c r="CT1" s="2" t="s">
        <v>53</v>
      </c>
      <c r="CV1" s="2" t="s">
        <v>76</v>
      </c>
      <c r="CW1" s="2" t="s">
        <v>77</v>
      </c>
      <c r="CX1" s="2" t="s">
        <v>49</v>
      </c>
      <c r="CY1" s="2" t="s">
        <v>50</v>
      </c>
      <c r="CZ1" s="2" t="s">
        <v>51</v>
      </c>
      <c r="DA1" s="2" t="s">
        <v>52</v>
      </c>
      <c r="DB1" s="2" t="s">
        <v>53</v>
      </c>
      <c r="DD1" s="2" t="s">
        <v>78</v>
      </c>
      <c r="DE1" s="2" t="s">
        <v>79</v>
      </c>
      <c r="DF1" s="2" t="s">
        <v>49</v>
      </c>
      <c r="DG1" s="2" t="s">
        <v>50</v>
      </c>
      <c r="DH1" s="2" t="s">
        <v>51</v>
      </c>
      <c r="DI1" s="2" t="s">
        <v>52</v>
      </c>
      <c r="DJ1" s="2" t="s">
        <v>53</v>
      </c>
      <c r="DL1" s="2" t="s">
        <v>80</v>
      </c>
      <c r="DM1" s="2" t="s">
        <v>81</v>
      </c>
      <c r="DN1" s="2" t="s">
        <v>49</v>
      </c>
      <c r="DO1" s="2" t="s">
        <v>50</v>
      </c>
      <c r="DP1" s="2" t="s">
        <v>51</v>
      </c>
      <c r="DQ1" s="2" t="s">
        <v>52</v>
      </c>
      <c r="DR1" s="2" t="s">
        <v>53</v>
      </c>
      <c r="DT1" s="2" t="s">
        <v>82</v>
      </c>
      <c r="DU1" s="2" t="s">
        <v>83</v>
      </c>
      <c r="DV1" s="2" t="s">
        <v>49</v>
      </c>
      <c r="DW1" s="2" t="s">
        <v>50</v>
      </c>
      <c r="DX1" s="2" t="s">
        <v>51</v>
      </c>
      <c r="DY1" s="2" t="s">
        <v>52</v>
      </c>
      <c r="DZ1" s="2" t="s">
        <v>53</v>
      </c>
      <c r="EB1" s="2" t="s">
        <v>84</v>
      </c>
      <c r="EC1" s="2" t="s">
        <v>85</v>
      </c>
      <c r="ED1" s="2" t="s">
        <v>49</v>
      </c>
      <c r="EE1" s="2" t="s">
        <v>50</v>
      </c>
      <c r="EF1" s="2" t="s">
        <v>51</v>
      </c>
      <c r="EG1" s="2" t="s">
        <v>52</v>
      </c>
      <c r="EH1" s="2" t="s">
        <v>53</v>
      </c>
      <c r="EJ1" s="2" t="s">
        <v>86</v>
      </c>
      <c r="EK1" s="2" t="s">
        <v>87</v>
      </c>
      <c r="EL1" s="2" t="s">
        <v>49</v>
      </c>
      <c r="EM1" s="2" t="s">
        <v>50</v>
      </c>
      <c r="EN1" s="2" t="s">
        <v>51</v>
      </c>
      <c r="EO1" s="2" t="s">
        <v>52</v>
      </c>
      <c r="EP1" s="2" t="s">
        <v>53</v>
      </c>
      <c r="ER1" s="2" t="s">
        <v>88</v>
      </c>
      <c r="ES1" s="2" t="s">
        <v>89</v>
      </c>
      <c r="ET1" s="2" t="s">
        <v>49</v>
      </c>
      <c r="EU1" s="2" t="s">
        <v>50</v>
      </c>
      <c r="EV1" s="2" t="s">
        <v>51</v>
      </c>
      <c r="EW1" s="2" t="s">
        <v>52</v>
      </c>
      <c r="EX1" s="2" t="s">
        <v>53</v>
      </c>
      <c r="EZ1" s="2" t="s">
        <v>90</v>
      </c>
      <c r="FA1" s="2" t="s">
        <v>90</v>
      </c>
      <c r="FB1" s="2" t="s">
        <v>91</v>
      </c>
      <c r="FC1" s="2" t="s">
        <v>49</v>
      </c>
      <c r="FD1" s="2" t="s">
        <v>50</v>
      </c>
      <c r="FE1" s="2" t="s">
        <v>51</v>
      </c>
      <c r="FF1" s="2" t="s">
        <v>52</v>
      </c>
      <c r="FG1" s="2" t="s">
        <v>53</v>
      </c>
      <c r="FI1" s="2" t="s">
        <v>92</v>
      </c>
      <c r="FJ1" s="2" t="s">
        <v>93</v>
      </c>
      <c r="FK1" s="2" t="s">
        <v>49</v>
      </c>
      <c r="FL1" s="2" t="s">
        <v>50</v>
      </c>
      <c r="FM1" s="2" t="s">
        <v>51</v>
      </c>
      <c r="FN1" s="2" t="s">
        <v>52</v>
      </c>
      <c r="FO1" s="2" t="s">
        <v>53</v>
      </c>
      <c r="FQ1" s="2" t="s">
        <v>94</v>
      </c>
      <c r="FR1" s="2" t="s">
        <v>94</v>
      </c>
      <c r="FS1" s="2" t="s">
        <v>95</v>
      </c>
      <c r="FT1" s="2" t="s">
        <v>49</v>
      </c>
      <c r="FU1" s="2" t="s">
        <v>50</v>
      </c>
      <c r="FV1" s="2" t="s">
        <v>51</v>
      </c>
      <c r="FW1" s="2" t="s">
        <v>52</v>
      </c>
      <c r="FX1" s="2" t="s">
        <v>53</v>
      </c>
    </row>
    <row r="2">
      <c r="A2" s="2">
        <v>0.0</v>
      </c>
      <c r="B2" s="2">
        <v>0.0</v>
      </c>
      <c r="C2" s="2">
        <f t="shared" ref="C2:C10" si="1">A2/20</f>
        <v>0</v>
      </c>
      <c r="D2" s="2">
        <f t="shared" ref="D2:D10" si="2">B2/0.023</f>
        <v>0</v>
      </c>
      <c r="E2" s="2">
        <f>MAX(D2:D329)</f>
        <v>22.73913043</v>
      </c>
      <c r="F2" s="2">
        <f>C5</f>
        <v>0.01425</v>
      </c>
      <c r="G2" s="2">
        <v>2712.6</v>
      </c>
      <c r="I2" s="2">
        <v>0.0</v>
      </c>
      <c r="J2" s="2">
        <v>0.0</v>
      </c>
      <c r="K2" s="2">
        <f t="shared" ref="K2:K11" si="3">I2/20</f>
        <v>0</v>
      </c>
      <c r="L2" s="2">
        <f t="shared" ref="L2:L11" si="4">J2/0.032</f>
        <v>0</v>
      </c>
      <c r="M2" s="2">
        <f>MAX(L2:L329)</f>
        <v>79.40625</v>
      </c>
      <c r="N2" s="2">
        <f>K7</f>
        <v>0.02295</v>
      </c>
      <c r="O2" s="2">
        <v>8186.2</v>
      </c>
      <c r="Q2" s="2">
        <v>0.0</v>
      </c>
      <c r="R2" s="2">
        <v>0.0</v>
      </c>
      <c r="S2" s="2">
        <f t="shared" ref="S2:S14" si="5">Q2/20</f>
        <v>0</v>
      </c>
      <c r="T2" s="2">
        <f t="shared" ref="T2:T14" si="6">R2/0.028</f>
        <v>0</v>
      </c>
      <c r="U2" s="2">
        <f>MAX(T2:T329)</f>
        <v>51.14285714</v>
      </c>
      <c r="V2" s="2">
        <f>S9</f>
        <v>0.0281</v>
      </c>
      <c r="W2" s="2">
        <v>2532.3</v>
      </c>
      <c r="Y2" s="2">
        <v>0.0</v>
      </c>
      <c r="Z2" s="2">
        <f t="shared" ref="Z2:Z14" si="7">Y4-0.195</f>
        <v>0</v>
      </c>
      <c r="AA2" s="2">
        <v>0.0</v>
      </c>
      <c r="AB2" s="2">
        <f t="shared" ref="AB2:AB14" si="8">Z2/20</f>
        <v>0</v>
      </c>
      <c r="AC2" s="2">
        <f t="shared" ref="AC2:AC14" si="9">AA2/0.088</f>
        <v>0</v>
      </c>
      <c r="AD2" s="2">
        <f>MAX(AC2:AC329)</f>
        <v>18.42045455</v>
      </c>
      <c r="AE2" s="2">
        <f>AB10</f>
        <v>0.029</v>
      </c>
      <c r="AF2" s="2">
        <v>679.98</v>
      </c>
      <c r="AH2" s="2">
        <v>0.0</v>
      </c>
      <c r="AI2" s="2">
        <f t="shared" ref="AI2:AI12" si="10">AH3-0.155</f>
        <v>0</v>
      </c>
      <c r="AJ2" s="2">
        <v>0.0</v>
      </c>
      <c r="AK2" s="2">
        <f t="shared" ref="AK2:AK12" si="11">AI2/20</f>
        <v>0</v>
      </c>
      <c r="AL2" s="2">
        <f t="shared" ref="AL2:AL12" si="12">AJ2/0.06</f>
        <v>0</v>
      </c>
      <c r="AM2" s="2">
        <f>MAX(AL2:AL329)</f>
        <v>43.93333333</v>
      </c>
      <c r="AN2" s="2">
        <f>AK8</f>
        <v>0.02125</v>
      </c>
      <c r="AO2" s="2">
        <v>1643.4</v>
      </c>
      <c r="AQ2" s="2">
        <v>0.0</v>
      </c>
      <c r="AR2" s="2">
        <v>0.0</v>
      </c>
      <c r="AS2" s="2">
        <f t="shared" ref="AS2:AS15" si="13">AQ2/20</f>
        <v>0</v>
      </c>
      <c r="AT2" s="2">
        <f t="shared" ref="AT2:AT15" si="14">AR2/0.047</f>
        <v>0</v>
      </c>
      <c r="AU2" s="2">
        <f>MAX(AT2:AT329)</f>
        <v>80.59574468</v>
      </c>
      <c r="AV2" s="2">
        <f>AS8</f>
        <v>0.02175</v>
      </c>
      <c r="AW2" s="2">
        <v>5635.0</v>
      </c>
      <c r="AY2" s="2">
        <v>0.0</v>
      </c>
      <c r="AZ2" s="2">
        <v>0.0</v>
      </c>
      <c r="BA2" s="2">
        <f t="shared" ref="BA2:BA14" si="15">AY2/20</f>
        <v>0</v>
      </c>
      <c r="BB2" s="2">
        <f t="shared" ref="BB2:BB14" si="16">AZ2/0.041</f>
        <v>0</v>
      </c>
      <c r="BC2" s="2">
        <f>MAX(BB2:BB329)</f>
        <v>102.9268293</v>
      </c>
      <c r="BD2" s="2">
        <f>BA9</f>
        <v>0.02775</v>
      </c>
      <c r="BE2" s="2">
        <v>4946.5</v>
      </c>
      <c r="BG2" s="2">
        <v>0.0</v>
      </c>
      <c r="BH2" s="2">
        <v>0.0</v>
      </c>
      <c r="BI2" s="2">
        <f t="shared" ref="BI2:BI20" si="17">BG2/20</f>
        <v>0</v>
      </c>
      <c r="BJ2" s="2">
        <f t="shared" ref="BJ2:BJ20" si="18">BH2/0.025</f>
        <v>0</v>
      </c>
      <c r="BK2" s="2">
        <f>MAX(BJ2:BJ329)</f>
        <v>244.04</v>
      </c>
      <c r="BL2" s="2">
        <f>BI16</f>
        <v>0.05465</v>
      </c>
      <c r="BM2" s="2">
        <v>5260.6</v>
      </c>
      <c r="BO2" s="2">
        <v>0.0</v>
      </c>
      <c r="BP2" s="2">
        <v>0.0</v>
      </c>
      <c r="BQ2" s="2">
        <f t="shared" ref="BQ2:BQ11" si="19">BO2/20</f>
        <v>0</v>
      </c>
      <c r="BR2" s="2">
        <f t="shared" ref="BR2:BR11" si="20">BP2/0.015</f>
        <v>0</v>
      </c>
      <c r="BS2" s="2">
        <f>MAX(BR2:BR329)</f>
        <v>76.53333333</v>
      </c>
      <c r="BT2" s="2">
        <f>BQ7</f>
        <v>0.02275</v>
      </c>
      <c r="BU2" s="2">
        <v>3474.0</v>
      </c>
      <c r="BW2" s="2">
        <v>0.0</v>
      </c>
      <c r="BX2" s="2">
        <v>0.0</v>
      </c>
      <c r="BY2" s="2">
        <f t="shared" ref="BY2:BY20" si="21">BW2/20</f>
        <v>0</v>
      </c>
      <c r="BZ2" s="2">
        <f t="shared" ref="BZ2:BZ20" si="22">BX2/0.24</f>
        <v>0</v>
      </c>
      <c r="CA2" s="2">
        <f>MAX(BZ2:BZ329)</f>
        <v>16.23333333</v>
      </c>
      <c r="CB2" s="2">
        <f>BY15</f>
        <v>0.05025</v>
      </c>
      <c r="CC2" s="2">
        <v>369.89</v>
      </c>
      <c r="CE2" s="2">
        <v>0.0</v>
      </c>
      <c r="CF2" s="2">
        <v>0.0</v>
      </c>
      <c r="CG2" s="2">
        <f t="shared" ref="CG2:CG13" si="23">CE2/20</f>
        <v>0</v>
      </c>
      <c r="CH2" s="2">
        <f t="shared" ref="CH2:CH13" si="24">CF2/0.098</f>
        <v>0</v>
      </c>
      <c r="CI2" s="2">
        <f>MAX(CH2:CH329)</f>
        <v>15.29591837</v>
      </c>
      <c r="CJ2" s="2">
        <f>CG10</f>
        <v>0.03375</v>
      </c>
      <c r="CK2" s="2">
        <v>629.37</v>
      </c>
      <c r="CM2" s="2">
        <v>0.0</v>
      </c>
      <c r="CN2" s="2">
        <f t="shared" ref="CN2:CN11" si="25">CM4-0.231</f>
        <v>0</v>
      </c>
      <c r="CO2" s="2">
        <v>0.0</v>
      </c>
      <c r="CP2" s="2">
        <f t="shared" ref="CP2:CP11" si="26">CN2/20</f>
        <v>0</v>
      </c>
      <c r="CQ2" s="2">
        <f t="shared" ref="CQ2:CQ11" si="27">CO2/0.019</f>
        <v>0</v>
      </c>
      <c r="CR2" s="2">
        <f>MAX(CQ2:CQ329)</f>
        <v>58.89473684</v>
      </c>
      <c r="CS2" s="2">
        <f>CP8</f>
        <v>0.0207</v>
      </c>
      <c r="CT2" s="2">
        <v>3988.8</v>
      </c>
      <c r="CV2" s="2">
        <v>0.0</v>
      </c>
      <c r="CW2" s="2">
        <v>0.0</v>
      </c>
      <c r="CX2" s="2">
        <f t="shared" ref="CX2:CX18" si="28">CV2/20</f>
        <v>0</v>
      </c>
      <c r="CY2" s="2">
        <f t="shared" ref="CY2:CY18" si="29">CW2/0.03</f>
        <v>0</v>
      </c>
      <c r="CZ2" s="2">
        <f>MAX(CY2:CY329)</f>
        <v>161.8333333</v>
      </c>
      <c r="DA2" s="2">
        <f>CX14</f>
        <v>0.0495</v>
      </c>
      <c r="DB2" s="2">
        <v>4034.9</v>
      </c>
      <c r="DD2" s="2">
        <v>0.0</v>
      </c>
      <c r="DE2" s="2">
        <v>0.0</v>
      </c>
      <c r="DF2" s="2">
        <f t="shared" ref="DF2:DF13" si="30">DD2/20</f>
        <v>0</v>
      </c>
      <c r="DG2" s="2">
        <f t="shared" ref="DG2:DG13" si="31">DE2/0.017</f>
        <v>0</v>
      </c>
      <c r="DH2" s="2">
        <f>MAX(DG2:DG329)</f>
        <v>252.5294118</v>
      </c>
      <c r="DI2" s="2">
        <f>DF9</f>
        <v>0.02905</v>
      </c>
      <c r="DJ2" s="2">
        <v>11467.0</v>
      </c>
      <c r="DL2" s="2">
        <v>0.0</v>
      </c>
      <c r="DM2" s="2">
        <v>0.0</v>
      </c>
      <c r="DN2" s="2">
        <f t="shared" ref="DN2:DN22" si="32">DL2/20</f>
        <v>0</v>
      </c>
      <c r="DO2" s="2">
        <f t="shared" ref="DO2:DO22" si="33">DM2/0.007</f>
        <v>0</v>
      </c>
      <c r="DP2" s="2">
        <f>MAX(DO2:DO329)</f>
        <v>560.1428571</v>
      </c>
      <c r="DQ2" s="2">
        <f>DN19</f>
        <v>0.059</v>
      </c>
      <c r="DR2" s="2">
        <v>13840.0</v>
      </c>
      <c r="DT2" s="2">
        <v>0.0</v>
      </c>
      <c r="DU2" s="2">
        <v>0.0</v>
      </c>
      <c r="DV2" s="2">
        <f t="shared" ref="DV2:DV18" si="34">DT2/20</f>
        <v>0</v>
      </c>
      <c r="DW2" s="2">
        <f t="shared" ref="DW2:DW18" si="35">DU2/0.008</f>
        <v>0</v>
      </c>
      <c r="DX2" s="2">
        <f>MAX(DW2:DW329)</f>
        <v>455.5</v>
      </c>
      <c r="DY2" s="2">
        <f>DV15</f>
        <v>0.049</v>
      </c>
      <c r="DZ2" s="2">
        <v>15077.0</v>
      </c>
      <c r="EB2" s="2">
        <v>0.0</v>
      </c>
      <c r="EC2" s="2">
        <v>0.0</v>
      </c>
      <c r="ED2" s="2">
        <f t="shared" ref="ED2:ED16" si="36">EB2/20</f>
        <v>0</v>
      </c>
      <c r="EE2" s="2">
        <f t="shared" ref="EE2:EE16" si="37">EC2/0.015</f>
        <v>0</v>
      </c>
      <c r="EF2" s="2">
        <f>MAX(EE2:EE329)</f>
        <v>224.4</v>
      </c>
      <c r="EG2" s="2">
        <f>ED12</f>
        <v>0.03955</v>
      </c>
      <c r="EH2" s="2">
        <v>8195.7</v>
      </c>
      <c r="EJ2" s="2">
        <v>0.0</v>
      </c>
      <c r="EK2" s="2">
        <v>0.0</v>
      </c>
      <c r="EL2" s="2">
        <f t="shared" ref="EL2:EL10" si="38">EJ2/20</f>
        <v>0</v>
      </c>
      <c r="EM2" s="2">
        <f t="shared" ref="EM2:EM10" si="39">EK2/0.01</f>
        <v>0</v>
      </c>
      <c r="EN2" s="2">
        <f>MAX(EM2:EM329)</f>
        <v>264.3</v>
      </c>
      <c r="EO2" s="2">
        <f>EL7</f>
        <v>0.0223</v>
      </c>
      <c r="EP2" s="2">
        <v>19089.0</v>
      </c>
      <c r="ER2" s="2">
        <v>0.0</v>
      </c>
      <c r="ES2" s="2">
        <v>0.0</v>
      </c>
      <c r="ET2" s="2">
        <f t="shared" ref="ET2:ET10" si="40">ER2/20</f>
        <v>0</v>
      </c>
      <c r="EU2" s="2">
        <f t="shared" ref="EU2:EU10" si="41">ES2/0.022</f>
        <v>0</v>
      </c>
      <c r="EV2" s="2">
        <f>MAX(EU2:EU329)</f>
        <v>180.3181818</v>
      </c>
      <c r="EW2" s="2">
        <f>ET7</f>
        <v>0.0235</v>
      </c>
      <c r="EX2" s="2">
        <v>13449.0</v>
      </c>
      <c r="EZ2" s="2">
        <v>0.0</v>
      </c>
      <c r="FA2" s="2">
        <f t="shared" ref="FA2:FA9" si="42">EZ3-0.155</f>
        <v>0</v>
      </c>
      <c r="FB2" s="2">
        <v>0.0</v>
      </c>
      <c r="FC2" s="2">
        <f t="shared" ref="FC2:FC10" si="43">FA2/20</f>
        <v>0</v>
      </c>
      <c r="FD2" s="2">
        <f t="shared" ref="FD2:FD10" si="44">FB2/0.002</f>
        <v>0</v>
      </c>
      <c r="FE2" s="2">
        <f>MAX(FD2:FD329)</f>
        <v>806.5</v>
      </c>
      <c r="FF2" s="2">
        <f>FC6</f>
        <v>0.015</v>
      </c>
      <c r="FG2" s="2">
        <v>49307.0</v>
      </c>
      <c r="FI2" s="2">
        <v>0.0</v>
      </c>
      <c r="FJ2" s="2">
        <v>0.0</v>
      </c>
      <c r="FK2" s="2">
        <f t="shared" ref="FK2:FK11" si="45">FI2/20</f>
        <v>0</v>
      </c>
      <c r="FL2" s="2">
        <f t="shared" ref="FL2:FL11" si="46">FJ2/0.012</f>
        <v>0</v>
      </c>
      <c r="FM2" s="2">
        <f>MAX(FL2:FL329)</f>
        <v>453.1666667</v>
      </c>
      <c r="FN2" s="2">
        <f>FK7</f>
        <v>0.01975</v>
      </c>
      <c r="FO2" s="2">
        <v>30189.0</v>
      </c>
      <c r="FQ2" s="2">
        <v>0.004</v>
      </c>
      <c r="FR2" s="2">
        <f t="shared" ref="FR2:FR13" si="47">FQ2-0.004</f>
        <v>0</v>
      </c>
      <c r="FS2" s="2">
        <v>0.0</v>
      </c>
      <c r="FT2" s="2">
        <f t="shared" ref="FT2:FT13" si="48">FR2/20</f>
        <v>0</v>
      </c>
      <c r="FU2" s="2">
        <f t="shared" ref="FU2:FU13" si="49">FS2/0.044</f>
        <v>0</v>
      </c>
      <c r="FV2" s="2">
        <f>MAX(FU2:FU329)</f>
        <v>55.29545455</v>
      </c>
      <c r="FW2" s="2">
        <f>FT10</f>
        <v>0.0368</v>
      </c>
      <c r="FX2" s="2">
        <v>2354.2</v>
      </c>
    </row>
    <row r="3">
      <c r="A3" s="2">
        <v>0.16</v>
      </c>
      <c r="B3" s="2">
        <v>0.133</v>
      </c>
      <c r="C3" s="2">
        <f t="shared" si="1"/>
        <v>0.008</v>
      </c>
      <c r="D3" s="2">
        <f t="shared" si="2"/>
        <v>5.782608696</v>
      </c>
      <c r="I3" s="2">
        <v>0.16</v>
      </c>
      <c r="J3" s="2">
        <v>0.236</v>
      </c>
      <c r="K3" s="2">
        <f t="shared" si="3"/>
        <v>0.008</v>
      </c>
      <c r="L3" s="2">
        <f t="shared" si="4"/>
        <v>7.375</v>
      </c>
      <c r="Q3" s="2">
        <v>0.152</v>
      </c>
      <c r="R3" s="2">
        <v>0.079</v>
      </c>
      <c r="S3" s="2">
        <f t="shared" si="5"/>
        <v>0.0076</v>
      </c>
      <c r="T3" s="2">
        <f t="shared" si="6"/>
        <v>2.821428571</v>
      </c>
      <c r="Y3" s="2">
        <v>0.085</v>
      </c>
      <c r="Z3" s="2">
        <f t="shared" si="7"/>
        <v>0.084</v>
      </c>
      <c r="AA3" s="2">
        <v>0.086</v>
      </c>
      <c r="AB3" s="2">
        <f t="shared" si="8"/>
        <v>0.0042</v>
      </c>
      <c r="AC3" s="2">
        <f t="shared" si="9"/>
        <v>0.9772727273</v>
      </c>
      <c r="AH3" s="2">
        <v>0.155</v>
      </c>
      <c r="AI3" s="2">
        <f t="shared" si="10"/>
        <v>0.055</v>
      </c>
      <c r="AJ3" s="2">
        <v>0.103</v>
      </c>
      <c r="AK3" s="2">
        <f t="shared" si="11"/>
        <v>0.00275</v>
      </c>
      <c r="AL3" s="2">
        <f t="shared" si="12"/>
        <v>1.716666667</v>
      </c>
      <c r="AQ3" s="2">
        <v>0.165</v>
      </c>
      <c r="AR3" s="2">
        <v>0.4</v>
      </c>
      <c r="AS3" s="2">
        <f t="shared" si="13"/>
        <v>0.00825</v>
      </c>
      <c r="AT3" s="2">
        <f t="shared" si="14"/>
        <v>8.510638298</v>
      </c>
      <c r="AY3" s="2">
        <v>0.14</v>
      </c>
      <c r="AZ3" s="2">
        <v>0.192</v>
      </c>
      <c r="BA3" s="2">
        <f t="shared" si="15"/>
        <v>0.007</v>
      </c>
      <c r="BB3" s="2">
        <f t="shared" si="16"/>
        <v>4.682926829</v>
      </c>
      <c r="BG3" s="2">
        <v>0.152</v>
      </c>
      <c r="BH3" s="2">
        <v>0.084</v>
      </c>
      <c r="BI3" s="2">
        <f t="shared" si="17"/>
        <v>0.0076</v>
      </c>
      <c r="BJ3" s="2">
        <f t="shared" si="18"/>
        <v>3.36</v>
      </c>
      <c r="BO3" s="2">
        <v>0.156</v>
      </c>
      <c r="BP3" s="2">
        <v>0.101</v>
      </c>
      <c r="BQ3" s="2">
        <f t="shared" si="19"/>
        <v>0.0078</v>
      </c>
      <c r="BR3" s="2">
        <f t="shared" si="20"/>
        <v>6.733333333</v>
      </c>
      <c r="BW3" s="2">
        <v>0.154</v>
      </c>
      <c r="BX3" s="2">
        <v>0.126</v>
      </c>
      <c r="BY3" s="2">
        <f t="shared" si="21"/>
        <v>0.0077</v>
      </c>
      <c r="BZ3" s="2">
        <f t="shared" si="22"/>
        <v>0.525</v>
      </c>
      <c r="CE3" s="2">
        <v>0.167</v>
      </c>
      <c r="CF3" s="2">
        <v>0.113</v>
      </c>
      <c r="CG3" s="2">
        <f t="shared" si="23"/>
        <v>0.00835</v>
      </c>
      <c r="CH3" s="2">
        <f t="shared" si="24"/>
        <v>1.153061224</v>
      </c>
      <c r="CM3" s="2">
        <v>0.16</v>
      </c>
      <c r="CN3" s="2">
        <f t="shared" si="25"/>
        <v>0.069</v>
      </c>
      <c r="CO3" s="2">
        <v>0.101</v>
      </c>
      <c r="CP3" s="2">
        <f t="shared" si="26"/>
        <v>0.00345</v>
      </c>
      <c r="CQ3" s="2">
        <f t="shared" si="27"/>
        <v>5.315789474</v>
      </c>
      <c r="CV3" s="2">
        <v>0.158</v>
      </c>
      <c r="CW3" s="2">
        <v>0.172</v>
      </c>
      <c r="CX3" s="2">
        <f t="shared" si="28"/>
        <v>0.0079</v>
      </c>
      <c r="CY3" s="2">
        <f t="shared" si="29"/>
        <v>5.733333333</v>
      </c>
      <c r="DD3" s="2">
        <v>0.155</v>
      </c>
      <c r="DE3" s="2">
        <v>0.317</v>
      </c>
      <c r="DF3" s="2">
        <f t="shared" si="30"/>
        <v>0.00775</v>
      </c>
      <c r="DG3" s="2">
        <f t="shared" si="31"/>
        <v>18.64705882</v>
      </c>
      <c r="DL3" s="2">
        <v>0.152</v>
      </c>
      <c r="DM3" s="2">
        <v>0.153</v>
      </c>
      <c r="DN3" s="2">
        <f t="shared" si="32"/>
        <v>0.0076</v>
      </c>
      <c r="DO3" s="2">
        <f t="shared" si="33"/>
        <v>21.85714286</v>
      </c>
      <c r="DT3" s="2">
        <v>0.142</v>
      </c>
      <c r="DU3" s="2">
        <v>0.172</v>
      </c>
      <c r="DV3" s="2">
        <f t="shared" si="34"/>
        <v>0.0071</v>
      </c>
      <c r="DW3" s="2">
        <f t="shared" si="35"/>
        <v>21.5</v>
      </c>
      <c r="EB3" s="2">
        <v>0.159</v>
      </c>
      <c r="EC3" s="2">
        <v>0.135</v>
      </c>
      <c r="ED3" s="2">
        <f t="shared" si="36"/>
        <v>0.00795</v>
      </c>
      <c r="EE3" s="2">
        <f t="shared" si="37"/>
        <v>9</v>
      </c>
      <c r="EJ3" s="2">
        <v>0.155</v>
      </c>
      <c r="EK3" s="2">
        <v>0.295</v>
      </c>
      <c r="EL3" s="2">
        <f t="shared" si="38"/>
        <v>0.00775</v>
      </c>
      <c r="EM3" s="2">
        <f t="shared" si="39"/>
        <v>29.5</v>
      </c>
      <c r="ER3" s="2">
        <v>0.169</v>
      </c>
      <c r="ES3" s="2">
        <v>0.63</v>
      </c>
      <c r="ET3" s="2">
        <f t="shared" si="40"/>
        <v>0.00845</v>
      </c>
      <c r="EU3" s="2">
        <f t="shared" si="41"/>
        <v>28.63636364</v>
      </c>
      <c r="EZ3" s="2">
        <v>0.155</v>
      </c>
      <c r="FA3" s="2">
        <f t="shared" si="42"/>
        <v>0.069</v>
      </c>
      <c r="FB3" s="2">
        <v>0.155</v>
      </c>
      <c r="FC3" s="2">
        <f t="shared" si="43"/>
        <v>0.00345</v>
      </c>
      <c r="FD3" s="2">
        <f t="shared" si="44"/>
        <v>77.5</v>
      </c>
      <c r="FI3" s="2">
        <v>0.114</v>
      </c>
      <c r="FJ3" s="2">
        <v>0.417</v>
      </c>
      <c r="FK3" s="2">
        <f t="shared" si="45"/>
        <v>0.0057</v>
      </c>
      <c r="FL3" s="2">
        <f t="shared" si="46"/>
        <v>34.75</v>
      </c>
      <c r="FQ3" s="2">
        <v>0.228</v>
      </c>
      <c r="FR3" s="2">
        <f t="shared" si="47"/>
        <v>0.224</v>
      </c>
      <c r="FS3" s="2">
        <v>0.179</v>
      </c>
      <c r="FT3" s="2">
        <f t="shared" si="48"/>
        <v>0.0112</v>
      </c>
      <c r="FU3" s="2">
        <f t="shared" si="49"/>
        <v>4.068181818</v>
      </c>
    </row>
    <row r="4">
      <c r="A4" s="2">
        <v>0.224</v>
      </c>
      <c r="B4" s="2">
        <v>0.329</v>
      </c>
      <c r="C4" s="2">
        <f t="shared" si="1"/>
        <v>0.0112</v>
      </c>
      <c r="D4" s="2">
        <f t="shared" si="2"/>
        <v>14.30434783</v>
      </c>
      <c r="I4" s="2">
        <v>0.255</v>
      </c>
      <c r="J4" s="2">
        <v>0.646</v>
      </c>
      <c r="K4" s="2">
        <f t="shared" si="3"/>
        <v>0.01275</v>
      </c>
      <c r="L4" s="2">
        <f t="shared" si="4"/>
        <v>20.1875</v>
      </c>
      <c r="Q4" s="2">
        <v>0.222</v>
      </c>
      <c r="R4" s="2">
        <v>0.224</v>
      </c>
      <c r="S4" s="2">
        <f t="shared" si="5"/>
        <v>0.0111</v>
      </c>
      <c r="T4" s="2">
        <f t="shared" si="6"/>
        <v>8</v>
      </c>
      <c r="Y4" s="2">
        <v>0.195</v>
      </c>
      <c r="Z4" s="2">
        <f t="shared" si="7"/>
        <v>0.148</v>
      </c>
      <c r="AA4" s="2">
        <v>0.209</v>
      </c>
      <c r="AB4" s="2">
        <f t="shared" si="8"/>
        <v>0.0074</v>
      </c>
      <c r="AC4" s="2">
        <f t="shared" si="9"/>
        <v>2.375</v>
      </c>
      <c r="AH4" s="2">
        <v>0.21</v>
      </c>
      <c r="AI4" s="2">
        <f t="shared" si="10"/>
        <v>0.125</v>
      </c>
      <c r="AJ4" s="2">
        <v>0.337</v>
      </c>
      <c r="AK4" s="2">
        <f t="shared" si="11"/>
        <v>0.00625</v>
      </c>
      <c r="AL4" s="2">
        <f t="shared" si="12"/>
        <v>5.616666667</v>
      </c>
      <c r="AQ4" s="2">
        <v>0.165</v>
      </c>
      <c r="AR4" s="2">
        <v>0.797</v>
      </c>
      <c r="AS4" s="2">
        <f t="shared" si="13"/>
        <v>0.00825</v>
      </c>
      <c r="AT4" s="2">
        <f t="shared" si="14"/>
        <v>16.95744681</v>
      </c>
      <c r="AY4" s="2">
        <v>0.212</v>
      </c>
      <c r="AZ4" s="2">
        <v>0.537</v>
      </c>
      <c r="BA4" s="2">
        <f t="shared" si="15"/>
        <v>0.0106</v>
      </c>
      <c r="BB4" s="2">
        <f t="shared" si="16"/>
        <v>13.09756098</v>
      </c>
      <c r="BG4" s="2">
        <v>0.224</v>
      </c>
      <c r="BH4" s="2">
        <v>0.251</v>
      </c>
      <c r="BI4" s="2">
        <f t="shared" si="17"/>
        <v>0.0112</v>
      </c>
      <c r="BJ4" s="2">
        <f t="shared" si="18"/>
        <v>10.04</v>
      </c>
      <c r="BO4" s="2">
        <v>0.237</v>
      </c>
      <c r="BP4" s="2">
        <v>0.275</v>
      </c>
      <c r="BQ4" s="2">
        <f t="shared" si="19"/>
        <v>0.01185</v>
      </c>
      <c r="BR4" s="2">
        <f t="shared" si="20"/>
        <v>18.33333333</v>
      </c>
      <c r="BW4" s="2">
        <v>0.222</v>
      </c>
      <c r="BX4" s="2">
        <v>0.326</v>
      </c>
      <c r="BY4" s="2">
        <f t="shared" si="21"/>
        <v>0.0111</v>
      </c>
      <c r="BZ4" s="2">
        <f t="shared" si="22"/>
        <v>1.358333333</v>
      </c>
      <c r="CE4" s="2">
        <v>0.235</v>
      </c>
      <c r="CF4" s="2">
        <v>0.265</v>
      </c>
      <c r="CG4" s="2">
        <f t="shared" si="23"/>
        <v>0.01175</v>
      </c>
      <c r="CH4" s="2">
        <f t="shared" si="24"/>
        <v>2.704081633</v>
      </c>
      <c r="CM4" s="2">
        <v>0.231</v>
      </c>
      <c r="CN4" s="2">
        <f t="shared" si="25"/>
        <v>0.148</v>
      </c>
      <c r="CO4" s="2">
        <v>0.277</v>
      </c>
      <c r="CP4" s="2">
        <f t="shared" si="26"/>
        <v>0.0074</v>
      </c>
      <c r="CQ4" s="2">
        <f t="shared" si="27"/>
        <v>14.57894737</v>
      </c>
      <c r="CV4" s="2">
        <v>0.223</v>
      </c>
      <c r="CW4" s="2">
        <v>0.442</v>
      </c>
      <c r="CX4" s="2">
        <f t="shared" si="28"/>
        <v>0.01115</v>
      </c>
      <c r="CY4" s="2">
        <f t="shared" si="29"/>
        <v>14.73333333</v>
      </c>
      <c r="DD4" s="2">
        <v>0.236</v>
      </c>
      <c r="DE4" s="2">
        <v>0.787</v>
      </c>
      <c r="DF4" s="2">
        <f t="shared" si="30"/>
        <v>0.0118</v>
      </c>
      <c r="DG4" s="2">
        <f t="shared" si="31"/>
        <v>46.29411765</v>
      </c>
      <c r="DL4" s="2">
        <v>0.222</v>
      </c>
      <c r="DM4" s="2">
        <v>0.385</v>
      </c>
      <c r="DN4" s="2">
        <f t="shared" si="32"/>
        <v>0.0111</v>
      </c>
      <c r="DO4" s="2">
        <f t="shared" si="33"/>
        <v>55</v>
      </c>
      <c r="DT4" s="2">
        <v>0.212</v>
      </c>
      <c r="DU4" s="2">
        <v>0.459</v>
      </c>
      <c r="DV4" s="2">
        <f t="shared" si="34"/>
        <v>0.0106</v>
      </c>
      <c r="DW4" s="2">
        <f t="shared" si="35"/>
        <v>57.375</v>
      </c>
      <c r="EB4" s="2">
        <v>0.224</v>
      </c>
      <c r="EC4" s="2">
        <v>0.358</v>
      </c>
      <c r="ED4" s="2">
        <f t="shared" si="36"/>
        <v>0.0112</v>
      </c>
      <c r="EE4" s="2">
        <f t="shared" si="37"/>
        <v>23.86666667</v>
      </c>
      <c r="EJ4" s="2">
        <v>0.217</v>
      </c>
      <c r="EK4" s="2">
        <v>0.788</v>
      </c>
      <c r="EL4" s="2">
        <f t="shared" si="38"/>
        <v>0.01085</v>
      </c>
      <c r="EM4" s="2">
        <f t="shared" si="39"/>
        <v>78.8</v>
      </c>
      <c r="ER4" s="2">
        <v>0.22</v>
      </c>
      <c r="ES4" s="2">
        <v>1.457</v>
      </c>
      <c r="ET4" s="2">
        <f t="shared" si="40"/>
        <v>0.011</v>
      </c>
      <c r="EU4" s="2">
        <f t="shared" si="41"/>
        <v>66.22727273</v>
      </c>
      <c r="EZ4" s="2">
        <v>0.224</v>
      </c>
      <c r="FA4" s="2">
        <f t="shared" si="42"/>
        <v>0.145</v>
      </c>
      <c r="FB4" s="2">
        <v>0.452</v>
      </c>
      <c r="FC4" s="2">
        <f t="shared" si="43"/>
        <v>0.00725</v>
      </c>
      <c r="FD4" s="2">
        <f t="shared" si="44"/>
        <v>226</v>
      </c>
      <c r="FI4" s="2">
        <v>0.184</v>
      </c>
      <c r="FJ4" s="2">
        <v>1.158</v>
      </c>
      <c r="FK4" s="2">
        <f t="shared" si="45"/>
        <v>0.0092</v>
      </c>
      <c r="FL4" s="2">
        <f t="shared" si="46"/>
        <v>96.5</v>
      </c>
      <c r="FQ4" s="2">
        <v>0.3</v>
      </c>
      <c r="FR4" s="2">
        <f t="shared" si="47"/>
        <v>0.296</v>
      </c>
      <c r="FS4" s="2">
        <v>0.432</v>
      </c>
      <c r="FT4" s="2">
        <f t="shared" si="48"/>
        <v>0.0148</v>
      </c>
      <c r="FU4" s="2">
        <f t="shared" si="49"/>
        <v>9.818181818</v>
      </c>
    </row>
    <row r="5">
      <c r="A5" s="2">
        <v>0.285</v>
      </c>
      <c r="B5" s="2">
        <v>0.523</v>
      </c>
      <c r="C5" s="2">
        <f t="shared" si="1"/>
        <v>0.01425</v>
      </c>
      <c r="D5" s="2">
        <f t="shared" si="2"/>
        <v>22.73913043</v>
      </c>
      <c r="I5" s="2">
        <v>0.32</v>
      </c>
      <c r="J5" s="2">
        <v>1.163</v>
      </c>
      <c r="K5" s="2">
        <f t="shared" si="3"/>
        <v>0.016</v>
      </c>
      <c r="L5" s="2">
        <f t="shared" si="4"/>
        <v>36.34375</v>
      </c>
      <c r="Q5" s="2">
        <v>0.295</v>
      </c>
      <c r="R5" s="2">
        <v>0.427</v>
      </c>
      <c r="S5" s="2">
        <f t="shared" si="5"/>
        <v>0.01475</v>
      </c>
      <c r="T5" s="2">
        <f t="shared" si="6"/>
        <v>15.25</v>
      </c>
      <c r="Y5" s="2">
        <v>0.279</v>
      </c>
      <c r="Z5" s="2">
        <f t="shared" si="7"/>
        <v>0.21</v>
      </c>
      <c r="AA5" s="2">
        <v>0.375</v>
      </c>
      <c r="AB5" s="2">
        <f t="shared" si="8"/>
        <v>0.0105</v>
      </c>
      <c r="AC5" s="2">
        <f t="shared" si="9"/>
        <v>4.261363636</v>
      </c>
      <c r="AH5" s="2">
        <v>0.28</v>
      </c>
      <c r="AI5" s="2">
        <f t="shared" si="10"/>
        <v>0.217</v>
      </c>
      <c r="AJ5" s="2">
        <v>0.741</v>
      </c>
      <c r="AK5" s="2">
        <f t="shared" si="11"/>
        <v>0.01085</v>
      </c>
      <c r="AL5" s="2">
        <f t="shared" si="12"/>
        <v>12.35</v>
      </c>
      <c r="AQ5" s="2">
        <v>0.302</v>
      </c>
      <c r="AR5" s="2">
        <v>1.467</v>
      </c>
      <c r="AS5" s="2">
        <f t="shared" si="13"/>
        <v>0.0151</v>
      </c>
      <c r="AT5" s="2">
        <f t="shared" si="14"/>
        <v>31.21276596</v>
      </c>
      <c r="AY5" s="2">
        <v>0.276</v>
      </c>
      <c r="AZ5" s="2">
        <v>1.04</v>
      </c>
      <c r="BA5" s="2">
        <f t="shared" si="15"/>
        <v>0.0138</v>
      </c>
      <c r="BB5" s="2">
        <f t="shared" si="16"/>
        <v>25.36585366</v>
      </c>
      <c r="BG5" s="2">
        <v>0.224</v>
      </c>
      <c r="BH5" s="2">
        <v>0.417</v>
      </c>
      <c r="BI5" s="2">
        <f t="shared" si="17"/>
        <v>0.0112</v>
      </c>
      <c r="BJ5" s="2">
        <f t="shared" si="18"/>
        <v>16.68</v>
      </c>
      <c r="BO5" s="2">
        <v>0.32</v>
      </c>
      <c r="BP5" s="2">
        <v>0.528</v>
      </c>
      <c r="BQ5" s="2">
        <f t="shared" si="19"/>
        <v>0.016</v>
      </c>
      <c r="BR5" s="2">
        <f t="shared" si="20"/>
        <v>35.2</v>
      </c>
      <c r="BW5" s="2">
        <v>0.295</v>
      </c>
      <c r="BX5" s="2">
        <v>0.586</v>
      </c>
      <c r="BY5" s="2">
        <f t="shared" si="21"/>
        <v>0.01475</v>
      </c>
      <c r="BZ5" s="2">
        <f t="shared" si="22"/>
        <v>2.441666667</v>
      </c>
      <c r="CE5" s="2">
        <v>0.31</v>
      </c>
      <c r="CF5" s="2">
        <v>0.464</v>
      </c>
      <c r="CG5" s="2">
        <f t="shared" si="23"/>
        <v>0.0155</v>
      </c>
      <c r="CH5" s="2">
        <f t="shared" si="24"/>
        <v>4.734693878</v>
      </c>
      <c r="CM5" s="2">
        <v>0.3</v>
      </c>
      <c r="CN5" s="2">
        <f t="shared" si="25"/>
        <v>0.215</v>
      </c>
      <c r="CO5" s="2">
        <v>0.518</v>
      </c>
      <c r="CP5" s="2">
        <f t="shared" si="26"/>
        <v>0.01075</v>
      </c>
      <c r="CQ5" s="2">
        <f t="shared" si="27"/>
        <v>27.26315789</v>
      </c>
      <c r="CV5" s="2">
        <v>0.302</v>
      </c>
      <c r="CW5" s="2">
        <v>0.822</v>
      </c>
      <c r="CX5" s="2">
        <f t="shared" si="28"/>
        <v>0.0151</v>
      </c>
      <c r="CY5" s="2">
        <f t="shared" si="29"/>
        <v>27.4</v>
      </c>
      <c r="DD5" s="2">
        <v>0.3</v>
      </c>
      <c r="DE5" s="2">
        <v>1.381</v>
      </c>
      <c r="DF5" s="2">
        <f t="shared" si="30"/>
        <v>0.015</v>
      </c>
      <c r="DG5" s="2">
        <f t="shared" si="31"/>
        <v>81.23529412</v>
      </c>
      <c r="DL5" s="2">
        <v>0.28</v>
      </c>
      <c r="DM5" s="2">
        <v>0.669</v>
      </c>
      <c r="DN5" s="2">
        <f t="shared" si="32"/>
        <v>0.014</v>
      </c>
      <c r="DO5" s="2">
        <f t="shared" si="33"/>
        <v>95.57142857</v>
      </c>
      <c r="DT5" s="2">
        <v>0.283</v>
      </c>
      <c r="DU5" s="2">
        <v>0.827</v>
      </c>
      <c r="DV5" s="2">
        <f t="shared" si="34"/>
        <v>0.01415</v>
      </c>
      <c r="DW5" s="2">
        <f t="shared" si="35"/>
        <v>103.375</v>
      </c>
      <c r="EB5" s="2">
        <v>0.309</v>
      </c>
      <c r="EC5" s="2">
        <v>0.695</v>
      </c>
      <c r="ED5" s="2">
        <f t="shared" si="36"/>
        <v>0.01545</v>
      </c>
      <c r="EE5" s="2">
        <f t="shared" si="37"/>
        <v>46.33333333</v>
      </c>
      <c r="EJ5" s="2">
        <v>0.282</v>
      </c>
      <c r="EK5" s="2">
        <v>1.447</v>
      </c>
      <c r="EL5" s="2">
        <f t="shared" si="38"/>
        <v>0.0141</v>
      </c>
      <c r="EM5" s="2">
        <f t="shared" si="39"/>
        <v>144.7</v>
      </c>
      <c r="ER5" s="2">
        <v>0.299</v>
      </c>
      <c r="ES5" s="2">
        <v>2.538</v>
      </c>
      <c r="ET5" s="2">
        <f t="shared" si="40"/>
        <v>0.01495</v>
      </c>
      <c r="EU5" s="2">
        <f t="shared" si="41"/>
        <v>115.3636364</v>
      </c>
      <c r="EZ5" s="2">
        <v>0.3</v>
      </c>
      <c r="FA5" s="2">
        <f t="shared" si="42"/>
        <v>0.23</v>
      </c>
      <c r="FB5" s="2">
        <v>0.946</v>
      </c>
      <c r="FC5" s="2">
        <f t="shared" si="43"/>
        <v>0.0115</v>
      </c>
      <c r="FD5" s="2">
        <f t="shared" si="44"/>
        <v>473</v>
      </c>
      <c r="FI5" s="2">
        <v>0.254</v>
      </c>
      <c r="FJ5" s="2">
        <v>2.303</v>
      </c>
      <c r="FK5" s="2">
        <f t="shared" si="45"/>
        <v>0.0127</v>
      </c>
      <c r="FL5" s="2">
        <f t="shared" si="46"/>
        <v>191.9166667</v>
      </c>
      <c r="FQ5" s="2">
        <v>0.362</v>
      </c>
      <c r="FR5" s="2">
        <f t="shared" si="47"/>
        <v>0.358</v>
      </c>
      <c r="FS5" s="2">
        <v>0.741</v>
      </c>
      <c r="FT5" s="2">
        <f t="shared" si="48"/>
        <v>0.0179</v>
      </c>
      <c r="FU5" s="2">
        <f t="shared" si="49"/>
        <v>16.84090909</v>
      </c>
    </row>
    <row r="6">
      <c r="A6" s="2">
        <v>0.35</v>
      </c>
      <c r="B6" s="2">
        <v>0.522</v>
      </c>
      <c r="C6" s="2">
        <f t="shared" si="1"/>
        <v>0.0175</v>
      </c>
      <c r="D6" s="2">
        <f t="shared" si="2"/>
        <v>22.69565217</v>
      </c>
      <c r="I6" s="2">
        <v>0.377</v>
      </c>
      <c r="J6" s="2">
        <v>1.778</v>
      </c>
      <c r="K6" s="2">
        <f t="shared" si="3"/>
        <v>0.01885</v>
      </c>
      <c r="L6" s="2">
        <f t="shared" si="4"/>
        <v>55.5625</v>
      </c>
      <c r="Q6" s="2">
        <v>0.357</v>
      </c>
      <c r="R6" s="2">
        <v>0.682</v>
      </c>
      <c r="S6" s="2">
        <f t="shared" si="5"/>
        <v>0.01785</v>
      </c>
      <c r="T6" s="2">
        <f t="shared" si="6"/>
        <v>24.35714286</v>
      </c>
      <c r="Y6" s="2">
        <v>0.343</v>
      </c>
      <c r="Z6" s="2">
        <f t="shared" si="7"/>
        <v>0.28</v>
      </c>
      <c r="AA6" s="2">
        <v>0.589</v>
      </c>
      <c r="AB6" s="2">
        <f t="shared" si="8"/>
        <v>0.014</v>
      </c>
      <c r="AC6" s="2">
        <f t="shared" si="9"/>
        <v>6.693181818</v>
      </c>
      <c r="AH6" s="2">
        <v>0.372</v>
      </c>
      <c r="AI6" s="2">
        <f t="shared" si="10"/>
        <v>0.3</v>
      </c>
      <c r="AJ6" s="2">
        <v>1.322</v>
      </c>
      <c r="AK6" s="2">
        <f t="shared" si="11"/>
        <v>0.015</v>
      </c>
      <c r="AL6" s="2">
        <f t="shared" si="12"/>
        <v>22.03333333</v>
      </c>
      <c r="AQ6" s="2">
        <v>0.365</v>
      </c>
      <c r="AR6" s="2">
        <v>2.266</v>
      </c>
      <c r="AS6" s="2">
        <f t="shared" si="13"/>
        <v>0.01825</v>
      </c>
      <c r="AT6" s="2">
        <f t="shared" si="14"/>
        <v>48.21276596</v>
      </c>
      <c r="AY6" s="2">
        <v>0.34</v>
      </c>
      <c r="AZ6" s="2">
        <v>1.7</v>
      </c>
      <c r="BA6" s="2">
        <f t="shared" si="15"/>
        <v>0.017</v>
      </c>
      <c r="BB6" s="2">
        <f t="shared" si="16"/>
        <v>41.46341463</v>
      </c>
      <c r="BG6" s="2">
        <v>0.342</v>
      </c>
      <c r="BH6" s="2">
        <v>0.721</v>
      </c>
      <c r="BI6" s="2">
        <f t="shared" si="17"/>
        <v>0.0171</v>
      </c>
      <c r="BJ6" s="2">
        <f t="shared" si="18"/>
        <v>28.84</v>
      </c>
      <c r="BO6" s="2">
        <v>0.32</v>
      </c>
      <c r="BP6" s="2">
        <v>0.78</v>
      </c>
      <c r="BQ6" s="2">
        <f t="shared" si="19"/>
        <v>0.016</v>
      </c>
      <c r="BR6" s="2">
        <f t="shared" si="20"/>
        <v>52</v>
      </c>
      <c r="BW6" s="2">
        <v>0.343</v>
      </c>
      <c r="BX6" s="2">
        <v>0.891</v>
      </c>
      <c r="BY6" s="2">
        <f t="shared" si="21"/>
        <v>0.01715</v>
      </c>
      <c r="BZ6" s="2">
        <f t="shared" si="22"/>
        <v>3.7125</v>
      </c>
      <c r="CE6" s="2">
        <v>0.372</v>
      </c>
      <c r="CF6" s="2">
        <v>0.704</v>
      </c>
      <c r="CG6" s="2">
        <f t="shared" si="23"/>
        <v>0.0186</v>
      </c>
      <c r="CH6" s="2">
        <f t="shared" si="24"/>
        <v>7.183673469</v>
      </c>
      <c r="CM6" s="2">
        <v>0.379</v>
      </c>
      <c r="CN6" s="2">
        <f t="shared" si="25"/>
        <v>0.274</v>
      </c>
      <c r="CO6" s="2">
        <v>0.827</v>
      </c>
      <c r="CP6" s="2">
        <f t="shared" si="26"/>
        <v>0.0137</v>
      </c>
      <c r="CQ6" s="2">
        <f t="shared" si="27"/>
        <v>43.52631579</v>
      </c>
      <c r="CV6" s="2">
        <v>0.378</v>
      </c>
      <c r="CW6" s="2">
        <v>1.297</v>
      </c>
      <c r="CX6" s="2">
        <f t="shared" si="28"/>
        <v>0.0189</v>
      </c>
      <c r="CY6" s="2">
        <f t="shared" si="29"/>
        <v>43.23333333</v>
      </c>
      <c r="DD6" s="2">
        <v>0.36</v>
      </c>
      <c r="DE6" s="2">
        <v>2.097</v>
      </c>
      <c r="DF6" s="2">
        <f t="shared" si="30"/>
        <v>0.018</v>
      </c>
      <c r="DG6" s="2">
        <f t="shared" si="31"/>
        <v>123.3529412</v>
      </c>
      <c r="DL6" s="2">
        <v>0.341</v>
      </c>
      <c r="DM6" s="2">
        <v>1.003</v>
      </c>
      <c r="DN6" s="2">
        <f t="shared" si="32"/>
        <v>0.01705</v>
      </c>
      <c r="DO6" s="2">
        <f t="shared" si="33"/>
        <v>143.2857143</v>
      </c>
      <c r="DT6" s="2">
        <v>0.343</v>
      </c>
      <c r="DU6" s="2">
        <v>1.268</v>
      </c>
      <c r="DV6" s="2">
        <f t="shared" si="34"/>
        <v>0.01715</v>
      </c>
      <c r="DW6" s="2">
        <f t="shared" si="35"/>
        <v>158.5</v>
      </c>
      <c r="EB6" s="2">
        <v>0.38</v>
      </c>
      <c r="EC6" s="2">
        <v>1.118</v>
      </c>
      <c r="ED6" s="2">
        <f t="shared" si="36"/>
        <v>0.019</v>
      </c>
      <c r="EE6" s="2">
        <f t="shared" si="37"/>
        <v>74.53333333</v>
      </c>
      <c r="EJ6" s="2">
        <v>0.37</v>
      </c>
      <c r="EK6" s="2">
        <v>2.327</v>
      </c>
      <c r="EL6" s="2">
        <f t="shared" si="38"/>
        <v>0.0185</v>
      </c>
      <c r="EM6" s="2">
        <f t="shared" si="39"/>
        <v>232.7</v>
      </c>
      <c r="ER6" s="2">
        <v>0.39</v>
      </c>
      <c r="ES6" s="2">
        <v>3.933</v>
      </c>
      <c r="ET6" s="2">
        <f t="shared" si="40"/>
        <v>0.0195</v>
      </c>
      <c r="EU6" s="2">
        <f t="shared" si="41"/>
        <v>178.7727273</v>
      </c>
      <c r="EZ6" s="2">
        <v>0.385</v>
      </c>
      <c r="FA6" s="2">
        <f t="shared" si="42"/>
        <v>0.3</v>
      </c>
      <c r="FB6" s="2">
        <v>1.613</v>
      </c>
      <c r="FC6" s="2">
        <f t="shared" si="43"/>
        <v>0.015</v>
      </c>
      <c r="FD6" s="2">
        <f t="shared" si="44"/>
        <v>806.5</v>
      </c>
      <c r="FI6" s="2">
        <v>0.325</v>
      </c>
      <c r="FJ6" s="2">
        <v>3.847</v>
      </c>
      <c r="FK6" s="2">
        <f t="shared" si="45"/>
        <v>0.01625</v>
      </c>
      <c r="FL6" s="2">
        <f t="shared" si="46"/>
        <v>320.5833333</v>
      </c>
      <c r="FQ6" s="2">
        <v>0.43</v>
      </c>
      <c r="FR6" s="2">
        <f t="shared" si="47"/>
        <v>0.426</v>
      </c>
      <c r="FS6" s="2">
        <v>1.128</v>
      </c>
      <c r="FT6" s="2">
        <f t="shared" si="48"/>
        <v>0.0213</v>
      </c>
      <c r="FU6" s="2">
        <f t="shared" si="49"/>
        <v>25.63636364</v>
      </c>
    </row>
    <row r="7">
      <c r="A7" s="2">
        <v>0.422</v>
      </c>
      <c r="B7" s="2">
        <v>0.522</v>
      </c>
      <c r="C7" s="2">
        <f t="shared" si="1"/>
        <v>0.0211</v>
      </c>
      <c r="D7" s="2">
        <f t="shared" si="2"/>
        <v>22.69565217</v>
      </c>
      <c r="I7" s="2">
        <v>0.459</v>
      </c>
      <c r="J7" s="2">
        <v>2.541</v>
      </c>
      <c r="K7" s="2">
        <f t="shared" si="3"/>
        <v>0.02295</v>
      </c>
      <c r="L7" s="2">
        <f t="shared" si="4"/>
        <v>79.40625</v>
      </c>
      <c r="Q7" s="2">
        <v>0.357</v>
      </c>
      <c r="R7" s="2">
        <v>0.937</v>
      </c>
      <c r="S7" s="2">
        <f t="shared" si="5"/>
        <v>0.01785</v>
      </c>
      <c r="T7" s="2">
        <f t="shared" si="6"/>
        <v>33.46428571</v>
      </c>
      <c r="Y7" s="2">
        <v>0.405</v>
      </c>
      <c r="Z7" s="2">
        <f t="shared" si="7"/>
        <v>0.352</v>
      </c>
      <c r="AA7" s="2">
        <v>0.849</v>
      </c>
      <c r="AB7" s="2">
        <f t="shared" si="8"/>
        <v>0.0176</v>
      </c>
      <c r="AC7" s="2">
        <f t="shared" si="9"/>
        <v>9.647727273</v>
      </c>
      <c r="AH7" s="2">
        <v>0.455</v>
      </c>
      <c r="AI7" s="2">
        <f t="shared" si="10"/>
        <v>0.36</v>
      </c>
      <c r="AJ7" s="2">
        <v>2.038</v>
      </c>
      <c r="AK7" s="2">
        <f t="shared" si="11"/>
        <v>0.018</v>
      </c>
      <c r="AL7" s="2">
        <f t="shared" si="12"/>
        <v>33.96666667</v>
      </c>
      <c r="AQ7" s="2">
        <v>0.435</v>
      </c>
      <c r="AR7" s="2">
        <v>3.227</v>
      </c>
      <c r="AS7" s="2">
        <f t="shared" si="13"/>
        <v>0.02175</v>
      </c>
      <c r="AT7" s="2">
        <f t="shared" si="14"/>
        <v>68.65957447</v>
      </c>
      <c r="AY7" s="2">
        <v>0.402</v>
      </c>
      <c r="AZ7" s="2">
        <v>2.504</v>
      </c>
      <c r="BA7" s="2">
        <f t="shared" si="15"/>
        <v>0.0201</v>
      </c>
      <c r="BB7" s="2">
        <f t="shared" si="16"/>
        <v>61.07317073</v>
      </c>
      <c r="BG7" s="2">
        <v>0.422</v>
      </c>
      <c r="BH7" s="2">
        <v>1.138</v>
      </c>
      <c r="BI7" s="2">
        <f t="shared" si="17"/>
        <v>0.0211</v>
      </c>
      <c r="BJ7" s="2">
        <f t="shared" si="18"/>
        <v>45.52</v>
      </c>
      <c r="BO7" s="2">
        <v>0.455</v>
      </c>
      <c r="BP7" s="2">
        <v>1.148</v>
      </c>
      <c r="BQ7" s="2">
        <f t="shared" si="19"/>
        <v>0.02275</v>
      </c>
      <c r="BR7" s="2">
        <f t="shared" si="20"/>
        <v>76.53333333</v>
      </c>
      <c r="BW7" s="2">
        <v>0.411</v>
      </c>
      <c r="BX7" s="2">
        <v>1.268</v>
      </c>
      <c r="BY7" s="2">
        <f t="shared" si="21"/>
        <v>0.02055</v>
      </c>
      <c r="BZ7" s="2">
        <f t="shared" si="22"/>
        <v>5.283333333</v>
      </c>
      <c r="CE7" s="2">
        <v>0.447</v>
      </c>
      <c r="CF7" s="2">
        <v>0.969</v>
      </c>
      <c r="CG7" s="2">
        <f t="shared" si="23"/>
        <v>0.02235</v>
      </c>
      <c r="CH7" s="2">
        <f t="shared" si="24"/>
        <v>9.887755102</v>
      </c>
      <c r="CM7" s="2">
        <v>0.446</v>
      </c>
      <c r="CN7" s="2">
        <f t="shared" si="25"/>
        <v>0.337</v>
      </c>
      <c r="CO7" s="2">
        <v>1.091</v>
      </c>
      <c r="CP7" s="2">
        <f t="shared" si="26"/>
        <v>0.01685</v>
      </c>
      <c r="CQ7" s="2">
        <f t="shared" si="27"/>
        <v>57.42105263</v>
      </c>
      <c r="CV7" s="2">
        <v>0.455</v>
      </c>
      <c r="CW7" s="2">
        <v>1.864</v>
      </c>
      <c r="CX7" s="2">
        <f t="shared" si="28"/>
        <v>0.02275</v>
      </c>
      <c r="CY7" s="2">
        <f t="shared" si="29"/>
        <v>62.13333333</v>
      </c>
      <c r="DD7" s="2">
        <v>0.429</v>
      </c>
      <c r="DE7" s="2">
        <v>2.94</v>
      </c>
      <c r="DF7" s="2">
        <f t="shared" si="30"/>
        <v>0.02145</v>
      </c>
      <c r="DG7" s="2">
        <f t="shared" si="31"/>
        <v>172.9411765</v>
      </c>
      <c r="DL7" s="2">
        <v>0.411</v>
      </c>
      <c r="DM7" s="2">
        <v>1.388</v>
      </c>
      <c r="DN7" s="2">
        <f t="shared" si="32"/>
        <v>0.02055</v>
      </c>
      <c r="DO7" s="2">
        <f t="shared" si="33"/>
        <v>198.2857143</v>
      </c>
      <c r="DT7" s="2">
        <v>0.408</v>
      </c>
      <c r="DU7" s="2">
        <v>1.781</v>
      </c>
      <c r="DV7" s="2">
        <f t="shared" si="34"/>
        <v>0.0204</v>
      </c>
      <c r="DW7" s="2">
        <f t="shared" si="35"/>
        <v>222.625</v>
      </c>
      <c r="EB7" s="2">
        <v>0.44</v>
      </c>
      <c r="EC7" s="2">
        <v>1.595</v>
      </c>
      <c r="ED7" s="2">
        <f t="shared" si="36"/>
        <v>0.022</v>
      </c>
      <c r="EE7" s="2">
        <f t="shared" si="37"/>
        <v>106.3333333</v>
      </c>
      <c r="EJ7" s="2">
        <v>0.446</v>
      </c>
      <c r="EK7" s="2">
        <v>2.643</v>
      </c>
      <c r="EL7" s="2">
        <f t="shared" si="38"/>
        <v>0.0223</v>
      </c>
      <c r="EM7" s="2">
        <f t="shared" si="39"/>
        <v>264.3</v>
      </c>
      <c r="ER7" s="2">
        <v>0.47</v>
      </c>
      <c r="ES7" s="2">
        <v>3.967</v>
      </c>
      <c r="ET7" s="2">
        <f t="shared" si="40"/>
        <v>0.0235</v>
      </c>
      <c r="EU7" s="2">
        <f t="shared" si="41"/>
        <v>180.3181818</v>
      </c>
      <c r="EZ7" s="2">
        <v>0.455</v>
      </c>
      <c r="FA7" s="2">
        <f t="shared" si="42"/>
        <v>0.382</v>
      </c>
      <c r="FB7" s="2">
        <v>1.613</v>
      </c>
      <c r="FC7" s="2">
        <f t="shared" si="43"/>
        <v>0.0191</v>
      </c>
      <c r="FD7" s="2">
        <f t="shared" si="44"/>
        <v>806.5</v>
      </c>
      <c r="FI7" s="2">
        <v>0.395</v>
      </c>
      <c r="FJ7" s="2">
        <v>5.438</v>
      </c>
      <c r="FK7" s="2">
        <f t="shared" si="45"/>
        <v>0.01975</v>
      </c>
      <c r="FL7" s="2">
        <f t="shared" si="46"/>
        <v>453.1666667</v>
      </c>
      <c r="FQ7" s="2">
        <v>0.502</v>
      </c>
      <c r="FR7" s="2">
        <f t="shared" si="47"/>
        <v>0.498</v>
      </c>
      <c r="FS7" s="2">
        <v>1.586</v>
      </c>
      <c r="FT7" s="2">
        <f t="shared" si="48"/>
        <v>0.0249</v>
      </c>
      <c r="FU7" s="2">
        <f t="shared" si="49"/>
        <v>36.04545455</v>
      </c>
    </row>
    <row r="8">
      <c r="A8" s="2">
        <v>0.485</v>
      </c>
      <c r="B8" s="2">
        <v>0.39</v>
      </c>
      <c r="C8" s="2">
        <f t="shared" si="1"/>
        <v>0.02425</v>
      </c>
      <c r="D8" s="2">
        <f t="shared" si="2"/>
        <v>16.95652174</v>
      </c>
      <c r="I8" s="2">
        <v>0.527</v>
      </c>
      <c r="J8" s="2">
        <v>2.305</v>
      </c>
      <c r="K8" s="2">
        <f t="shared" si="3"/>
        <v>0.02635</v>
      </c>
      <c r="L8" s="2">
        <f t="shared" si="4"/>
        <v>72.03125</v>
      </c>
      <c r="Q8" s="2">
        <v>0.48</v>
      </c>
      <c r="R8" s="2">
        <v>1.197</v>
      </c>
      <c r="S8" s="2">
        <f t="shared" si="5"/>
        <v>0.024</v>
      </c>
      <c r="T8" s="2">
        <f t="shared" si="6"/>
        <v>42.75</v>
      </c>
      <c r="Y8" s="2">
        <v>0.475</v>
      </c>
      <c r="Z8" s="2">
        <f t="shared" si="7"/>
        <v>0.445</v>
      </c>
      <c r="AA8" s="2">
        <v>1.099</v>
      </c>
      <c r="AB8" s="2">
        <f t="shared" si="8"/>
        <v>0.02225</v>
      </c>
      <c r="AC8" s="2">
        <f t="shared" si="9"/>
        <v>12.48863636</v>
      </c>
      <c r="AH8" s="2">
        <v>0.515</v>
      </c>
      <c r="AI8" s="2">
        <f t="shared" si="10"/>
        <v>0.425</v>
      </c>
      <c r="AJ8" s="2">
        <v>2.636</v>
      </c>
      <c r="AK8" s="2">
        <f t="shared" si="11"/>
        <v>0.02125</v>
      </c>
      <c r="AL8" s="2">
        <f t="shared" si="12"/>
        <v>43.93333333</v>
      </c>
      <c r="AQ8" s="2">
        <v>0.435</v>
      </c>
      <c r="AR8" s="2">
        <v>3.788</v>
      </c>
      <c r="AS8" s="2">
        <f t="shared" si="13"/>
        <v>0.02175</v>
      </c>
      <c r="AT8" s="2">
        <f t="shared" si="14"/>
        <v>80.59574468</v>
      </c>
      <c r="AY8" s="2">
        <v>0.469</v>
      </c>
      <c r="AZ8" s="2">
        <v>3.315</v>
      </c>
      <c r="BA8" s="2">
        <f t="shared" si="15"/>
        <v>0.02345</v>
      </c>
      <c r="BB8" s="2">
        <f t="shared" si="16"/>
        <v>80.85365854</v>
      </c>
      <c r="BG8" s="2">
        <v>0.48</v>
      </c>
      <c r="BH8" s="2">
        <v>1.574</v>
      </c>
      <c r="BI8" s="2">
        <f t="shared" si="17"/>
        <v>0.024</v>
      </c>
      <c r="BJ8" s="2">
        <f t="shared" si="18"/>
        <v>62.96</v>
      </c>
      <c r="BO8" s="2">
        <v>0.524</v>
      </c>
      <c r="BP8" s="2">
        <v>1.048</v>
      </c>
      <c r="BQ8" s="2">
        <f t="shared" si="19"/>
        <v>0.0262</v>
      </c>
      <c r="BR8" s="2">
        <f t="shared" si="20"/>
        <v>69.86666667</v>
      </c>
      <c r="BW8" s="2">
        <v>0.48</v>
      </c>
      <c r="BX8" s="2">
        <v>1.589</v>
      </c>
      <c r="BY8" s="2">
        <f t="shared" si="21"/>
        <v>0.024</v>
      </c>
      <c r="BZ8" s="2">
        <f t="shared" si="22"/>
        <v>6.620833333</v>
      </c>
      <c r="CE8" s="2">
        <v>0.522</v>
      </c>
      <c r="CF8" s="2">
        <v>1.153</v>
      </c>
      <c r="CG8" s="2">
        <f t="shared" si="23"/>
        <v>0.0261</v>
      </c>
      <c r="CH8" s="2">
        <f t="shared" si="24"/>
        <v>11.76530612</v>
      </c>
      <c r="CM8" s="2">
        <v>0.505</v>
      </c>
      <c r="CN8" s="2">
        <f t="shared" si="25"/>
        <v>0.414</v>
      </c>
      <c r="CO8" s="2">
        <v>1.119</v>
      </c>
      <c r="CP8" s="2">
        <f t="shared" si="26"/>
        <v>0.0207</v>
      </c>
      <c r="CQ8" s="2">
        <f t="shared" si="27"/>
        <v>58.89473684</v>
      </c>
      <c r="CV8" s="2">
        <v>0.515</v>
      </c>
      <c r="CW8" s="2">
        <v>2.322</v>
      </c>
      <c r="CX8" s="2">
        <f t="shared" si="28"/>
        <v>0.02575</v>
      </c>
      <c r="CY8" s="2">
        <f t="shared" si="29"/>
        <v>77.4</v>
      </c>
      <c r="DD8" s="2">
        <v>0.514</v>
      </c>
      <c r="DE8" s="2">
        <v>3.631</v>
      </c>
      <c r="DF8" s="2">
        <f t="shared" si="30"/>
        <v>0.0257</v>
      </c>
      <c r="DG8" s="2">
        <f t="shared" si="31"/>
        <v>213.5882353</v>
      </c>
      <c r="DL8" s="2">
        <v>0.482</v>
      </c>
      <c r="DM8" s="2">
        <v>1.656</v>
      </c>
      <c r="DN8" s="2">
        <f t="shared" si="32"/>
        <v>0.0241</v>
      </c>
      <c r="DO8" s="2">
        <f t="shared" si="33"/>
        <v>236.5714286</v>
      </c>
      <c r="DT8" s="2">
        <v>0.477</v>
      </c>
      <c r="DU8" s="2">
        <v>2.204</v>
      </c>
      <c r="DV8" s="2">
        <f t="shared" si="34"/>
        <v>0.02385</v>
      </c>
      <c r="DW8" s="2">
        <f t="shared" si="35"/>
        <v>275.5</v>
      </c>
      <c r="EB8" s="2">
        <v>0.502</v>
      </c>
      <c r="EC8" s="2">
        <v>1.998</v>
      </c>
      <c r="ED8" s="2">
        <f t="shared" si="36"/>
        <v>0.0251</v>
      </c>
      <c r="EE8" s="2">
        <f t="shared" si="37"/>
        <v>133.2</v>
      </c>
      <c r="EJ8" s="2">
        <v>0.507</v>
      </c>
      <c r="EK8" s="2">
        <v>2.349</v>
      </c>
      <c r="EL8" s="2">
        <f t="shared" si="38"/>
        <v>0.02535</v>
      </c>
      <c r="EM8" s="2">
        <f t="shared" si="39"/>
        <v>234.9</v>
      </c>
      <c r="ER8" s="2">
        <v>0.547</v>
      </c>
      <c r="ES8" s="2">
        <v>3.529</v>
      </c>
      <c r="ET8" s="2">
        <f t="shared" si="40"/>
        <v>0.02735</v>
      </c>
      <c r="EU8" s="2">
        <f t="shared" si="41"/>
        <v>160.4090909</v>
      </c>
      <c r="EZ8" s="2">
        <v>0.537</v>
      </c>
      <c r="FA8" s="2">
        <f t="shared" si="42"/>
        <v>0.472</v>
      </c>
      <c r="FB8" s="2">
        <v>1.462</v>
      </c>
      <c r="FC8" s="2">
        <f t="shared" si="43"/>
        <v>0.0236</v>
      </c>
      <c r="FD8" s="2">
        <f t="shared" si="44"/>
        <v>731</v>
      </c>
      <c r="FI8" s="2">
        <v>0.46</v>
      </c>
      <c r="FJ8" s="2">
        <v>5.019</v>
      </c>
      <c r="FK8" s="2">
        <f t="shared" si="45"/>
        <v>0.023</v>
      </c>
      <c r="FL8" s="2">
        <f t="shared" si="46"/>
        <v>418.25</v>
      </c>
      <c r="FQ8" s="2">
        <v>0.58</v>
      </c>
      <c r="FR8" s="2">
        <f t="shared" si="47"/>
        <v>0.576</v>
      </c>
      <c r="FS8" s="2">
        <v>1.903</v>
      </c>
      <c r="FT8" s="2">
        <f t="shared" si="48"/>
        <v>0.0288</v>
      </c>
      <c r="FU8" s="2">
        <f t="shared" si="49"/>
        <v>43.25</v>
      </c>
    </row>
    <row r="9">
      <c r="A9" s="2">
        <v>0.554</v>
      </c>
      <c r="B9" s="2">
        <v>0.194</v>
      </c>
      <c r="C9" s="2">
        <f t="shared" si="1"/>
        <v>0.0277</v>
      </c>
      <c r="D9" s="2">
        <f t="shared" si="2"/>
        <v>8.434782609</v>
      </c>
      <c r="I9" s="2">
        <v>0.587</v>
      </c>
      <c r="J9" s="2">
        <v>1.893</v>
      </c>
      <c r="K9" s="2">
        <f t="shared" si="3"/>
        <v>0.02935</v>
      </c>
      <c r="L9" s="2">
        <f t="shared" si="4"/>
        <v>59.15625</v>
      </c>
      <c r="Q9" s="2">
        <v>0.562</v>
      </c>
      <c r="R9" s="2">
        <v>1.432</v>
      </c>
      <c r="S9" s="2">
        <f t="shared" si="5"/>
        <v>0.0281</v>
      </c>
      <c r="T9" s="2">
        <f t="shared" si="6"/>
        <v>51.14285714</v>
      </c>
      <c r="Y9" s="2">
        <v>0.547</v>
      </c>
      <c r="Z9" s="2">
        <f t="shared" si="7"/>
        <v>0.517</v>
      </c>
      <c r="AA9" s="2">
        <v>1.359</v>
      </c>
      <c r="AB9" s="2">
        <f t="shared" si="8"/>
        <v>0.02585</v>
      </c>
      <c r="AC9" s="2">
        <f t="shared" si="9"/>
        <v>15.44318182</v>
      </c>
      <c r="AH9" s="2">
        <v>0.58</v>
      </c>
      <c r="AI9" s="2">
        <f t="shared" si="10"/>
        <v>0.506</v>
      </c>
      <c r="AJ9" s="2">
        <v>2.491</v>
      </c>
      <c r="AK9" s="2">
        <f t="shared" si="11"/>
        <v>0.0253</v>
      </c>
      <c r="AL9" s="2">
        <f t="shared" si="12"/>
        <v>41.51666667</v>
      </c>
      <c r="AQ9" s="2">
        <v>0.562</v>
      </c>
      <c r="AR9" s="2">
        <v>3.523</v>
      </c>
      <c r="AS9" s="2">
        <f t="shared" si="13"/>
        <v>0.0281</v>
      </c>
      <c r="AT9" s="2">
        <f t="shared" si="14"/>
        <v>74.95744681</v>
      </c>
      <c r="AY9" s="2">
        <v>0.555</v>
      </c>
      <c r="AZ9" s="2">
        <v>4.22</v>
      </c>
      <c r="BA9" s="2">
        <f t="shared" si="15"/>
        <v>0.02775</v>
      </c>
      <c r="BB9" s="2">
        <f t="shared" si="16"/>
        <v>102.9268293</v>
      </c>
      <c r="BG9" s="2">
        <v>0.56</v>
      </c>
      <c r="BH9" s="2">
        <v>2.06</v>
      </c>
      <c r="BI9" s="2">
        <f t="shared" si="17"/>
        <v>0.028</v>
      </c>
      <c r="BJ9" s="2">
        <f t="shared" si="18"/>
        <v>82.4</v>
      </c>
      <c r="BO9" s="2">
        <v>0.587</v>
      </c>
      <c r="BP9" s="2">
        <v>0.875</v>
      </c>
      <c r="BQ9" s="2">
        <f t="shared" si="19"/>
        <v>0.02935</v>
      </c>
      <c r="BR9" s="2">
        <f t="shared" si="20"/>
        <v>58.33333333</v>
      </c>
      <c r="BW9" s="2">
        <v>0.562</v>
      </c>
      <c r="BX9" s="2">
        <v>1.903</v>
      </c>
      <c r="BY9" s="2">
        <f t="shared" si="21"/>
        <v>0.0281</v>
      </c>
      <c r="BZ9" s="2">
        <f t="shared" si="22"/>
        <v>7.929166667</v>
      </c>
      <c r="CE9" s="2">
        <v>0.6</v>
      </c>
      <c r="CF9" s="2">
        <v>1.337</v>
      </c>
      <c r="CG9" s="2">
        <f t="shared" si="23"/>
        <v>0.03</v>
      </c>
      <c r="CH9" s="2">
        <f t="shared" si="24"/>
        <v>13.64285714</v>
      </c>
      <c r="CM9" s="2">
        <v>0.568</v>
      </c>
      <c r="CN9" s="2">
        <f t="shared" si="25"/>
        <v>0.474</v>
      </c>
      <c r="CO9" s="2">
        <v>0.942</v>
      </c>
      <c r="CP9" s="2">
        <f t="shared" si="26"/>
        <v>0.0237</v>
      </c>
      <c r="CQ9" s="2">
        <f t="shared" si="27"/>
        <v>49.57894737</v>
      </c>
      <c r="CV9" s="2">
        <v>0.602</v>
      </c>
      <c r="CW9" s="2">
        <v>2.771</v>
      </c>
      <c r="CX9" s="2">
        <f t="shared" si="28"/>
        <v>0.0301</v>
      </c>
      <c r="CY9" s="2">
        <f t="shared" si="29"/>
        <v>92.36666667</v>
      </c>
      <c r="DD9" s="2">
        <v>0.581</v>
      </c>
      <c r="DE9" s="2">
        <v>4.293</v>
      </c>
      <c r="DF9" s="2">
        <f t="shared" si="30"/>
        <v>0.02905</v>
      </c>
      <c r="DG9" s="2">
        <f t="shared" si="31"/>
        <v>252.5294118</v>
      </c>
      <c r="DL9" s="2">
        <v>0.561</v>
      </c>
      <c r="DM9" s="2">
        <v>1.9</v>
      </c>
      <c r="DN9" s="2">
        <f t="shared" si="32"/>
        <v>0.02805</v>
      </c>
      <c r="DO9" s="2">
        <f t="shared" si="33"/>
        <v>271.4285714</v>
      </c>
      <c r="DT9" s="2">
        <v>0.55</v>
      </c>
      <c r="DU9" s="2">
        <v>2.575</v>
      </c>
      <c r="DV9" s="2">
        <f t="shared" si="34"/>
        <v>0.0275</v>
      </c>
      <c r="DW9" s="2">
        <f t="shared" si="35"/>
        <v>321.875</v>
      </c>
      <c r="EB9" s="2">
        <v>0.57</v>
      </c>
      <c r="EC9" s="2">
        <v>2.369</v>
      </c>
      <c r="ED9" s="2">
        <f t="shared" si="36"/>
        <v>0.0285</v>
      </c>
      <c r="EE9" s="2">
        <f t="shared" si="37"/>
        <v>157.9333333</v>
      </c>
      <c r="EJ9" s="2">
        <v>0.57</v>
      </c>
      <c r="EK9" s="2">
        <v>1.857</v>
      </c>
      <c r="EL9" s="2">
        <f t="shared" si="38"/>
        <v>0.0285</v>
      </c>
      <c r="EM9" s="2">
        <f t="shared" si="39"/>
        <v>185.7</v>
      </c>
      <c r="ER9" s="2">
        <v>0.619</v>
      </c>
      <c r="ES9" s="2">
        <v>2.896</v>
      </c>
      <c r="ET9" s="2">
        <f t="shared" si="40"/>
        <v>0.03095</v>
      </c>
      <c r="EU9" s="2">
        <f t="shared" si="41"/>
        <v>131.6363636</v>
      </c>
      <c r="EZ9" s="2">
        <v>0.627</v>
      </c>
      <c r="FA9" s="2">
        <f t="shared" si="42"/>
        <v>0.55</v>
      </c>
      <c r="FB9" s="2">
        <v>1.163</v>
      </c>
      <c r="FC9" s="2">
        <f t="shared" si="43"/>
        <v>0.0275</v>
      </c>
      <c r="FD9" s="2">
        <f t="shared" si="44"/>
        <v>581.5</v>
      </c>
      <c r="FI9" s="2">
        <v>0.546</v>
      </c>
      <c r="FJ9" s="2">
        <v>4.281</v>
      </c>
      <c r="FK9" s="2">
        <f t="shared" si="45"/>
        <v>0.0273</v>
      </c>
      <c r="FL9" s="2">
        <f t="shared" si="46"/>
        <v>356.75</v>
      </c>
      <c r="FQ9" s="2">
        <v>0.58</v>
      </c>
      <c r="FR9" s="2">
        <f t="shared" si="47"/>
        <v>0.576</v>
      </c>
      <c r="FS9" s="2">
        <v>2.151</v>
      </c>
      <c r="FT9" s="2">
        <f t="shared" si="48"/>
        <v>0.0288</v>
      </c>
      <c r="FU9" s="2">
        <f t="shared" si="49"/>
        <v>48.88636364</v>
      </c>
    </row>
    <row r="10">
      <c r="A10" s="2">
        <v>0.625</v>
      </c>
      <c r="B10" s="2">
        <v>0.001</v>
      </c>
      <c r="C10" s="2">
        <f t="shared" si="1"/>
        <v>0.03125</v>
      </c>
      <c r="D10" s="2">
        <f t="shared" si="2"/>
        <v>0.04347826087</v>
      </c>
      <c r="I10" s="2">
        <v>0.652</v>
      </c>
      <c r="J10" s="2">
        <v>1.376</v>
      </c>
      <c r="K10" s="2">
        <f t="shared" si="3"/>
        <v>0.0326</v>
      </c>
      <c r="L10" s="2">
        <f t="shared" si="4"/>
        <v>43</v>
      </c>
      <c r="Q10" s="2">
        <v>0.64</v>
      </c>
      <c r="R10" s="2">
        <v>1.334</v>
      </c>
      <c r="S10" s="2">
        <f t="shared" si="5"/>
        <v>0.032</v>
      </c>
      <c r="T10" s="2">
        <f t="shared" si="6"/>
        <v>47.64285714</v>
      </c>
      <c r="Y10" s="2">
        <v>0.64</v>
      </c>
      <c r="Z10" s="2">
        <f t="shared" si="7"/>
        <v>0.58</v>
      </c>
      <c r="AA10" s="2">
        <v>1.621</v>
      </c>
      <c r="AB10" s="2">
        <f t="shared" si="8"/>
        <v>0.029</v>
      </c>
      <c r="AC10" s="2">
        <f t="shared" si="9"/>
        <v>18.42045455</v>
      </c>
      <c r="AH10" s="2">
        <v>0.661</v>
      </c>
      <c r="AI10" s="2">
        <f t="shared" si="10"/>
        <v>0.567</v>
      </c>
      <c r="AJ10" s="2">
        <v>2.087</v>
      </c>
      <c r="AK10" s="2">
        <f t="shared" si="11"/>
        <v>0.02835</v>
      </c>
      <c r="AL10" s="2">
        <f t="shared" si="12"/>
        <v>34.78333333</v>
      </c>
      <c r="AQ10" s="2">
        <v>0.635</v>
      </c>
      <c r="AR10" s="2">
        <v>2.991</v>
      </c>
      <c r="AS10" s="2">
        <f t="shared" si="13"/>
        <v>0.03175</v>
      </c>
      <c r="AT10" s="2">
        <f t="shared" si="14"/>
        <v>63.63829787</v>
      </c>
      <c r="AY10" s="2">
        <v>0.62</v>
      </c>
      <c r="AZ10" s="2">
        <v>4.129</v>
      </c>
      <c r="BA10" s="2">
        <f t="shared" si="15"/>
        <v>0.031</v>
      </c>
      <c r="BB10" s="2">
        <f t="shared" si="16"/>
        <v>100.7073171</v>
      </c>
      <c r="BG10" s="2">
        <v>0.641</v>
      </c>
      <c r="BH10" s="2">
        <v>2.68</v>
      </c>
      <c r="BI10" s="2">
        <f t="shared" si="17"/>
        <v>0.03205</v>
      </c>
      <c r="BJ10" s="2">
        <f t="shared" si="18"/>
        <v>107.2</v>
      </c>
      <c r="BO10" s="2">
        <v>0.667</v>
      </c>
      <c r="BP10" s="2">
        <v>0.621</v>
      </c>
      <c r="BQ10" s="2">
        <f t="shared" si="19"/>
        <v>0.03335</v>
      </c>
      <c r="BR10" s="2">
        <f t="shared" si="20"/>
        <v>41.4</v>
      </c>
      <c r="BW10" s="2">
        <v>0.642</v>
      </c>
      <c r="BX10" s="2">
        <v>2.236</v>
      </c>
      <c r="BY10" s="2">
        <f t="shared" si="21"/>
        <v>0.0321</v>
      </c>
      <c r="BZ10" s="2">
        <f t="shared" si="22"/>
        <v>9.316666667</v>
      </c>
      <c r="CE10" s="2">
        <v>0.675</v>
      </c>
      <c r="CF10" s="2">
        <v>1.499</v>
      </c>
      <c r="CG10" s="2">
        <f t="shared" si="23"/>
        <v>0.03375</v>
      </c>
      <c r="CH10" s="2">
        <f t="shared" si="24"/>
        <v>15.29591837</v>
      </c>
      <c r="CM10" s="2">
        <v>0.645</v>
      </c>
      <c r="CN10" s="2">
        <f t="shared" si="25"/>
        <v>0.54</v>
      </c>
      <c r="CO10" s="2">
        <v>0.702</v>
      </c>
      <c r="CP10" s="2">
        <f t="shared" si="26"/>
        <v>0.027</v>
      </c>
      <c r="CQ10" s="2">
        <f t="shared" si="27"/>
        <v>36.94736842</v>
      </c>
      <c r="CV10" s="2">
        <v>0.68</v>
      </c>
      <c r="CW10" s="2">
        <v>3.193</v>
      </c>
      <c r="CX10" s="2">
        <f t="shared" si="28"/>
        <v>0.034</v>
      </c>
      <c r="CY10" s="2">
        <f t="shared" si="29"/>
        <v>106.4333333</v>
      </c>
      <c r="DD10" s="2">
        <v>0.645</v>
      </c>
      <c r="DE10" s="2">
        <v>3.7</v>
      </c>
      <c r="DF10" s="2">
        <f t="shared" si="30"/>
        <v>0.03225</v>
      </c>
      <c r="DG10" s="2">
        <f t="shared" si="31"/>
        <v>217.6470588</v>
      </c>
      <c r="DL10" s="2">
        <v>0.632</v>
      </c>
      <c r="DM10" s="2">
        <v>2.131</v>
      </c>
      <c r="DN10" s="2">
        <f t="shared" si="32"/>
        <v>0.0316</v>
      </c>
      <c r="DO10" s="2">
        <f t="shared" si="33"/>
        <v>304.4285714</v>
      </c>
      <c r="DT10" s="2">
        <v>0.617</v>
      </c>
      <c r="DU10" s="2">
        <v>2.93</v>
      </c>
      <c r="DV10" s="2">
        <f t="shared" si="34"/>
        <v>0.03085</v>
      </c>
      <c r="DW10" s="2">
        <f t="shared" si="35"/>
        <v>366.25</v>
      </c>
      <c r="EB10" s="2">
        <v>0.645</v>
      </c>
      <c r="EC10" s="2">
        <v>2.714</v>
      </c>
      <c r="ED10" s="2">
        <f t="shared" si="36"/>
        <v>0.03225</v>
      </c>
      <c r="EE10" s="2">
        <f t="shared" si="37"/>
        <v>180.9333333</v>
      </c>
      <c r="EJ10" s="2">
        <v>0.631</v>
      </c>
      <c r="EK10" s="2">
        <v>1.197</v>
      </c>
      <c r="EL10" s="2">
        <f t="shared" si="38"/>
        <v>0.03155</v>
      </c>
      <c r="EM10" s="2">
        <f t="shared" si="39"/>
        <v>119.7</v>
      </c>
      <c r="ER10" s="2">
        <v>0.682</v>
      </c>
      <c r="ES10" s="2">
        <v>2.006</v>
      </c>
      <c r="ET10" s="2">
        <f t="shared" si="40"/>
        <v>0.0341</v>
      </c>
      <c r="EU10" s="2">
        <f t="shared" si="41"/>
        <v>91.18181818</v>
      </c>
      <c r="EZ10" s="2">
        <v>0.705</v>
      </c>
      <c r="FC10" s="2">
        <f t="shared" si="43"/>
        <v>0</v>
      </c>
      <c r="FD10" s="2">
        <f t="shared" si="44"/>
        <v>0</v>
      </c>
      <c r="FI10" s="2">
        <v>0.612</v>
      </c>
      <c r="FJ10" s="2">
        <v>3.134</v>
      </c>
      <c r="FK10" s="2">
        <f t="shared" si="45"/>
        <v>0.0306</v>
      </c>
      <c r="FL10" s="2">
        <f t="shared" si="46"/>
        <v>261.1666667</v>
      </c>
      <c r="FQ10" s="2">
        <v>0.74</v>
      </c>
      <c r="FR10" s="2">
        <f t="shared" si="47"/>
        <v>0.736</v>
      </c>
      <c r="FS10" s="2">
        <v>2.433</v>
      </c>
      <c r="FT10" s="2">
        <f t="shared" si="48"/>
        <v>0.0368</v>
      </c>
      <c r="FU10" s="2">
        <f t="shared" si="49"/>
        <v>55.29545455</v>
      </c>
    </row>
    <row r="11">
      <c r="I11" s="2">
        <v>0.652</v>
      </c>
      <c r="J11" s="2">
        <v>0.76</v>
      </c>
      <c r="K11" s="2">
        <f t="shared" si="3"/>
        <v>0.0326</v>
      </c>
      <c r="L11" s="2">
        <f t="shared" si="4"/>
        <v>23.75</v>
      </c>
      <c r="Q11" s="2">
        <v>0.712</v>
      </c>
      <c r="R11" s="2">
        <v>1.079</v>
      </c>
      <c r="S11" s="2">
        <f t="shared" si="5"/>
        <v>0.0356</v>
      </c>
      <c r="T11" s="2">
        <f t="shared" si="6"/>
        <v>38.53571429</v>
      </c>
      <c r="Y11" s="2">
        <v>0.712</v>
      </c>
      <c r="Z11" s="2">
        <f t="shared" si="7"/>
        <v>0.642</v>
      </c>
      <c r="AA11" s="2">
        <v>1.411</v>
      </c>
      <c r="AB11" s="2">
        <f t="shared" si="8"/>
        <v>0.0321</v>
      </c>
      <c r="AC11" s="2">
        <f t="shared" si="9"/>
        <v>16.03409091</v>
      </c>
      <c r="AH11" s="2">
        <v>0.722</v>
      </c>
      <c r="AI11" s="2">
        <f t="shared" si="10"/>
        <v>0.63</v>
      </c>
      <c r="AJ11" s="2">
        <v>1.508</v>
      </c>
      <c r="AK11" s="2">
        <f t="shared" si="11"/>
        <v>0.0315</v>
      </c>
      <c r="AL11" s="2">
        <f t="shared" si="12"/>
        <v>25.13333333</v>
      </c>
      <c r="AQ11" s="2">
        <v>0.697</v>
      </c>
      <c r="AR11" s="2">
        <v>2.342</v>
      </c>
      <c r="AS11" s="2">
        <f t="shared" si="13"/>
        <v>0.03485</v>
      </c>
      <c r="AT11" s="2">
        <f t="shared" si="14"/>
        <v>49.82978723</v>
      </c>
      <c r="AY11" s="2">
        <v>0.685</v>
      </c>
      <c r="AZ11" s="2">
        <v>3.47</v>
      </c>
      <c r="BA11" s="2">
        <f t="shared" si="15"/>
        <v>0.03425</v>
      </c>
      <c r="BB11" s="2">
        <f t="shared" si="16"/>
        <v>84.63414634</v>
      </c>
      <c r="BG11" s="2">
        <v>0.641</v>
      </c>
      <c r="BH11" s="2">
        <v>3.161</v>
      </c>
      <c r="BI11" s="2">
        <f t="shared" si="17"/>
        <v>0.03205</v>
      </c>
      <c r="BJ11" s="2">
        <f t="shared" si="18"/>
        <v>126.44</v>
      </c>
      <c r="BO11" s="2">
        <v>0.727</v>
      </c>
      <c r="BP11" s="2">
        <v>0.369</v>
      </c>
      <c r="BQ11" s="2">
        <f t="shared" si="19"/>
        <v>0.03635</v>
      </c>
      <c r="BR11" s="2">
        <f t="shared" si="20"/>
        <v>24.6</v>
      </c>
      <c r="BW11" s="2">
        <v>0.71</v>
      </c>
      <c r="BX11" s="2">
        <v>2.577</v>
      </c>
      <c r="BY11" s="2">
        <f t="shared" si="21"/>
        <v>0.0355</v>
      </c>
      <c r="BZ11" s="2">
        <f t="shared" si="22"/>
        <v>10.7375</v>
      </c>
      <c r="CE11" s="2">
        <v>0.752</v>
      </c>
      <c r="CF11" s="2">
        <v>1.26</v>
      </c>
      <c r="CG11" s="2">
        <f t="shared" si="23"/>
        <v>0.0376</v>
      </c>
      <c r="CH11" s="2">
        <f t="shared" si="24"/>
        <v>12.85714286</v>
      </c>
      <c r="CM11" s="2">
        <v>0.705</v>
      </c>
      <c r="CN11" s="2">
        <f t="shared" si="25"/>
        <v>0.54</v>
      </c>
      <c r="CO11" s="2">
        <v>0.395</v>
      </c>
      <c r="CP11" s="2">
        <f t="shared" si="26"/>
        <v>0.027</v>
      </c>
      <c r="CQ11" s="2">
        <f t="shared" si="27"/>
        <v>20.78947368</v>
      </c>
      <c r="CV11" s="2">
        <v>0.744</v>
      </c>
      <c r="CW11" s="2">
        <v>3.594</v>
      </c>
      <c r="CX11" s="2">
        <f t="shared" si="28"/>
        <v>0.0372</v>
      </c>
      <c r="CY11" s="2">
        <f t="shared" si="29"/>
        <v>119.8</v>
      </c>
      <c r="DD11" s="2">
        <v>0.708</v>
      </c>
      <c r="DE11" s="2">
        <v>2.982</v>
      </c>
      <c r="DF11" s="2">
        <f t="shared" si="30"/>
        <v>0.0354</v>
      </c>
      <c r="DG11" s="2">
        <f t="shared" si="31"/>
        <v>175.4117647</v>
      </c>
      <c r="DL11" s="2">
        <v>0.694</v>
      </c>
      <c r="DM11" s="2">
        <v>2.347</v>
      </c>
      <c r="DN11" s="2">
        <f t="shared" si="32"/>
        <v>0.0347</v>
      </c>
      <c r="DO11" s="2">
        <f t="shared" si="33"/>
        <v>335.2857143</v>
      </c>
      <c r="DT11" s="2">
        <v>0.675</v>
      </c>
      <c r="DU11" s="2">
        <v>3.268</v>
      </c>
      <c r="DV11" s="2">
        <f t="shared" si="34"/>
        <v>0.03375</v>
      </c>
      <c r="DW11" s="2">
        <f t="shared" si="35"/>
        <v>408.5</v>
      </c>
      <c r="EB11" s="2">
        <v>0.712</v>
      </c>
      <c r="EC11" s="2">
        <v>3.033</v>
      </c>
      <c r="ED11" s="2">
        <f t="shared" si="36"/>
        <v>0.0356</v>
      </c>
      <c r="EE11" s="2">
        <f t="shared" si="37"/>
        <v>202.2</v>
      </c>
      <c r="FI11" s="2">
        <v>0.667</v>
      </c>
      <c r="FJ11" s="2">
        <v>1.589</v>
      </c>
      <c r="FK11" s="2">
        <f t="shared" si="45"/>
        <v>0.03335</v>
      </c>
      <c r="FL11" s="2">
        <f t="shared" si="46"/>
        <v>132.4166667</v>
      </c>
      <c r="FQ11" s="2">
        <v>0.8</v>
      </c>
      <c r="FR11" s="2">
        <f t="shared" si="47"/>
        <v>0.796</v>
      </c>
      <c r="FS11" s="2">
        <v>2.048</v>
      </c>
      <c r="FT11" s="2">
        <f t="shared" si="48"/>
        <v>0.0398</v>
      </c>
      <c r="FU11" s="2">
        <f t="shared" si="49"/>
        <v>46.54545455</v>
      </c>
    </row>
    <row r="12">
      <c r="Q12" s="2">
        <v>0.776</v>
      </c>
      <c r="R12" s="2">
        <v>0.825</v>
      </c>
      <c r="S12" s="2">
        <f t="shared" si="5"/>
        <v>0.0388</v>
      </c>
      <c r="T12" s="2">
        <f t="shared" si="6"/>
        <v>29.46428571</v>
      </c>
      <c r="Y12" s="2">
        <v>0.775</v>
      </c>
      <c r="Z12" s="2">
        <f t="shared" si="7"/>
        <v>0.642</v>
      </c>
      <c r="AA12" s="2">
        <v>1.148</v>
      </c>
      <c r="AB12" s="2">
        <f t="shared" si="8"/>
        <v>0.0321</v>
      </c>
      <c r="AC12" s="2">
        <f t="shared" si="9"/>
        <v>13.04545455</v>
      </c>
      <c r="AH12" s="2">
        <v>0.785</v>
      </c>
      <c r="AI12" s="2">
        <f t="shared" si="10"/>
        <v>0.702</v>
      </c>
      <c r="AJ12" s="2">
        <v>0.789</v>
      </c>
      <c r="AK12" s="2">
        <f t="shared" si="11"/>
        <v>0.0351</v>
      </c>
      <c r="AL12" s="2">
        <f t="shared" si="12"/>
        <v>13.15</v>
      </c>
      <c r="AQ12" s="2">
        <v>0.766</v>
      </c>
      <c r="AR12" s="2">
        <v>1.518</v>
      </c>
      <c r="AS12" s="2">
        <f t="shared" si="13"/>
        <v>0.0383</v>
      </c>
      <c r="AT12" s="2">
        <f t="shared" si="14"/>
        <v>32.29787234</v>
      </c>
      <c r="AY12" s="2">
        <v>0.747</v>
      </c>
      <c r="AZ12" s="2">
        <v>2.666</v>
      </c>
      <c r="BA12" s="2">
        <f t="shared" si="15"/>
        <v>0.03735</v>
      </c>
      <c r="BB12" s="2">
        <f t="shared" si="16"/>
        <v>65.02439024</v>
      </c>
      <c r="BG12" s="2">
        <v>0.784</v>
      </c>
      <c r="BH12" s="2">
        <v>3.764</v>
      </c>
      <c r="BI12" s="2">
        <f t="shared" si="17"/>
        <v>0.0392</v>
      </c>
      <c r="BJ12" s="2">
        <f t="shared" si="18"/>
        <v>150.56</v>
      </c>
      <c r="BW12" s="2">
        <v>0.775</v>
      </c>
      <c r="BX12" s="2">
        <v>2.891</v>
      </c>
      <c r="BY12" s="2">
        <f t="shared" si="21"/>
        <v>0.03875</v>
      </c>
      <c r="BZ12" s="2">
        <f t="shared" si="22"/>
        <v>12.04583333</v>
      </c>
      <c r="CE12" s="2">
        <v>0.817</v>
      </c>
      <c r="CF12" s="2">
        <v>0.993</v>
      </c>
      <c r="CG12" s="2">
        <f t="shared" si="23"/>
        <v>0.04085</v>
      </c>
      <c r="CH12" s="2">
        <f t="shared" si="24"/>
        <v>10.13265306</v>
      </c>
      <c r="CM12" s="2">
        <v>0.771</v>
      </c>
      <c r="CV12" s="2">
        <v>0.847</v>
      </c>
      <c r="CW12" s="2">
        <v>4.012</v>
      </c>
      <c r="CX12" s="2">
        <f t="shared" si="28"/>
        <v>0.04235</v>
      </c>
      <c r="CY12" s="2">
        <f t="shared" si="29"/>
        <v>133.7333333</v>
      </c>
      <c r="DD12" s="2">
        <v>0.769</v>
      </c>
      <c r="DE12" s="2">
        <v>2.138</v>
      </c>
      <c r="DF12" s="2">
        <f t="shared" si="30"/>
        <v>0.03845</v>
      </c>
      <c r="DG12" s="2">
        <f t="shared" si="31"/>
        <v>125.7647059</v>
      </c>
      <c r="DL12" s="2">
        <v>0.772</v>
      </c>
      <c r="DM12" s="2">
        <v>2.563</v>
      </c>
      <c r="DN12" s="2">
        <f t="shared" si="32"/>
        <v>0.0386</v>
      </c>
      <c r="DO12" s="2">
        <f t="shared" si="33"/>
        <v>366.1428571</v>
      </c>
      <c r="DT12" s="2">
        <v>0.755</v>
      </c>
      <c r="DU12" s="2">
        <v>3.384</v>
      </c>
      <c r="DV12" s="2">
        <f t="shared" si="34"/>
        <v>0.03775</v>
      </c>
      <c r="DW12" s="2">
        <f t="shared" si="35"/>
        <v>423</v>
      </c>
      <c r="EB12" s="2">
        <v>0.791</v>
      </c>
      <c r="EC12" s="2">
        <v>3.366</v>
      </c>
      <c r="ED12" s="2">
        <f t="shared" si="36"/>
        <v>0.03955</v>
      </c>
      <c r="EE12" s="2">
        <f t="shared" si="37"/>
        <v>224.4</v>
      </c>
      <c r="FQ12" s="2">
        <v>0.889</v>
      </c>
      <c r="FR12" s="2">
        <f t="shared" si="47"/>
        <v>0.885</v>
      </c>
      <c r="FS12" s="2">
        <v>1.589</v>
      </c>
      <c r="FT12" s="2">
        <f t="shared" si="48"/>
        <v>0.04425</v>
      </c>
      <c r="FU12" s="2">
        <f t="shared" si="49"/>
        <v>36.11363636</v>
      </c>
    </row>
    <row r="13">
      <c r="Q13" s="2">
        <v>0.862</v>
      </c>
      <c r="R13" s="2">
        <v>0.489</v>
      </c>
      <c r="S13" s="2">
        <f t="shared" si="5"/>
        <v>0.0431</v>
      </c>
      <c r="T13" s="2">
        <f t="shared" si="6"/>
        <v>17.46428571</v>
      </c>
      <c r="Y13" s="2">
        <v>0.837</v>
      </c>
      <c r="Z13" s="2">
        <f t="shared" si="7"/>
        <v>0.763</v>
      </c>
      <c r="AA13" s="2">
        <v>0.814</v>
      </c>
      <c r="AB13" s="2">
        <f t="shared" si="8"/>
        <v>0.03815</v>
      </c>
      <c r="AC13" s="2">
        <f t="shared" si="9"/>
        <v>9.25</v>
      </c>
      <c r="AH13" s="2">
        <v>0.857</v>
      </c>
      <c r="AQ13" s="2">
        <v>0.835</v>
      </c>
      <c r="AR13" s="2">
        <v>0.692</v>
      </c>
      <c r="AS13" s="2">
        <f t="shared" si="13"/>
        <v>0.04175</v>
      </c>
      <c r="AT13" s="2">
        <f t="shared" si="14"/>
        <v>14.72340426</v>
      </c>
      <c r="AY13" s="2">
        <v>0.827</v>
      </c>
      <c r="AZ13" s="2">
        <v>1.666</v>
      </c>
      <c r="BA13" s="2">
        <f t="shared" si="15"/>
        <v>0.04135</v>
      </c>
      <c r="BB13" s="2">
        <f t="shared" si="16"/>
        <v>40.63414634</v>
      </c>
      <c r="BG13" s="2">
        <v>0.862</v>
      </c>
      <c r="BH13" s="2">
        <v>4.384</v>
      </c>
      <c r="BI13" s="2">
        <f t="shared" si="17"/>
        <v>0.0431</v>
      </c>
      <c r="BJ13" s="2">
        <f t="shared" si="18"/>
        <v>175.36</v>
      </c>
      <c r="BW13" s="2">
        <v>0.867</v>
      </c>
      <c r="BX13" s="2">
        <v>3.234</v>
      </c>
      <c r="BY13" s="2">
        <f t="shared" si="21"/>
        <v>0.04335</v>
      </c>
      <c r="BZ13" s="2">
        <f t="shared" si="22"/>
        <v>13.475</v>
      </c>
      <c r="CE13" s="2">
        <v>0.872</v>
      </c>
      <c r="CF13" s="2">
        <v>0.697</v>
      </c>
      <c r="CG13" s="2">
        <f t="shared" si="23"/>
        <v>0.0436</v>
      </c>
      <c r="CH13" s="2">
        <f t="shared" si="24"/>
        <v>7.112244898</v>
      </c>
      <c r="CM13" s="2">
        <v>0.771</v>
      </c>
      <c r="CV13" s="2">
        <v>0.915</v>
      </c>
      <c r="CW13" s="2">
        <v>4.441</v>
      </c>
      <c r="CX13" s="2">
        <f t="shared" si="28"/>
        <v>0.04575</v>
      </c>
      <c r="CY13" s="2">
        <f t="shared" si="29"/>
        <v>148.0333333</v>
      </c>
      <c r="DD13" s="2">
        <v>0.84</v>
      </c>
      <c r="DE13" s="2">
        <v>1.131</v>
      </c>
      <c r="DF13" s="2">
        <f t="shared" si="30"/>
        <v>0.042</v>
      </c>
      <c r="DG13" s="2">
        <f t="shared" si="31"/>
        <v>66.52941176</v>
      </c>
      <c r="DL13" s="2">
        <v>0.852</v>
      </c>
      <c r="DM13" s="2">
        <v>2.773</v>
      </c>
      <c r="DN13" s="2">
        <f t="shared" si="32"/>
        <v>0.0426</v>
      </c>
      <c r="DO13" s="2">
        <f t="shared" si="33"/>
        <v>396.1428571</v>
      </c>
      <c r="DT13" s="2">
        <v>0.836</v>
      </c>
      <c r="DU13" s="2">
        <v>3.48</v>
      </c>
      <c r="DV13" s="2">
        <f t="shared" si="34"/>
        <v>0.0418</v>
      </c>
      <c r="DW13" s="2">
        <f t="shared" si="35"/>
        <v>435</v>
      </c>
      <c r="EB13" s="2">
        <v>0.852</v>
      </c>
      <c r="EC13" s="2">
        <v>2.83</v>
      </c>
      <c r="ED13" s="2">
        <f t="shared" si="36"/>
        <v>0.0426</v>
      </c>
      <c r="EE13" s="2">
        <f t="shared" si="37"/>
        <v>188.6666667</v>
      </c>
      <c r="FQ13" s="2">
        <v>0.957</v>
      </c>
      <c r="FR13" s="2">
        <f t="shared" si="47"/>
        <v>0.953</v>
      </c>
      <c r="FS13" s="2">
        <v>1.092</v>
      </c>
      <c r="FT13" s="2">
        <f t="shared" si="48"/>
        <v>0.04765</v>
      </c>
      <c r="FU13" s="2">
        <f t="shared" si="49"/>
        <v>24.81818182</v>
      </c>
    </row>
    <row r="14">
      <c r="Q14" s="2">
        <v>0.934</v>
      </c>
      <c r="R14" s="2">
        <v>0.106</v>
      </c>
      <c r="S14" s="2">
        <f t="shared" si="5"/>
        <v>0.0467</v>
      </c>
      <c r="T14" s="2">
        <f t="shared" si="6"/>
        <v>3.785714286</v>
      </c>
      <c r="Y14" s="2">
        <v>0.837</v>
      </c>
      <c r="Z14" s="2">
        <f t="shared" si="7"/>
        <v>0.822</v>
      </c>
      <c r="AA14" s="2">
        <v>0.429</v>
      </c>
      <c r="AB14" s="2">
        <f t="shared" si="8"/>
        <v>0.0411</v>
      </c>
      <c r="AC14" s="2">
        <f t="shared" si="9"/>
        <v>4.875</v>
      </c>
      <c r="AQ14" s="2">
        <v>0.9</v>
      </c>
      <c r="AR14" s="2">
        <v>0.697</v>
      </c>
      <c r="AS14" s="2">
        <f t="shared" si="13"/>
        <v>0.045</v>
      </c>
      <c r="AT14" s="2">
        <f t="shared" si="14"/>
        <v>14.82978723</v>
      </c>
      <c r="AY14" s="2">
        <v>0.902</v>
      </c>
      <c r="AZ14" s="2">
        <v>0.413</v>
      </c>
      <c r="BA14" s="2">
        <f t="shared" si="15"/>
        <v>0.0451</v>
      </c>
      <c r="BB14" s="2">
        <f t="shared" si="16"/>
        <v>10.07317073</v>
      </c>
      <c r="BG14" s="2">
        <v>0.948</v>
      </c>
      <c r="BH14" s="2">
        <v>4.97</v>
      </c>
      <c r="BI14" s="2">
        <f t="shared" si="17"/>
        <v>0.0474</v>
      </c>
      <c r="BJ14" s="2">
        <f t="shared" si="18"/>
        <v>198.8</v>
      </c>
      <c r="BW14" s="2">
        <v>0.935</v>
      </c>
      <c r="BX14" s="2">
        <v>3.573</v>
      </c>
      <c r="BY14" s="2">
        <f t="shared" si="21"/>
        <v>0.04675</v>
      </c>
      <c r="BZ14" s="2">
        <f t="shared" si="22"/>
        <v>14.8875</v>
      </c>
      <c r="CV14" s="2">
        <v>0.99</v>
      </c>
      <c r="CW14" s="2">
        <v>4.855</v>
      </c>
      <c r="CX14" s="2">
        <f t="shared" si="28"/>
        <v>0.0495</v>
      </c>
      <c r="CY14" s="2">
        <f t="shared" si="29"/>
        <v>161.8333333</v>
      </c>
      <c r="DL14" s="2">
        <v>0.925</v>
      </c>
      <c r="DM14" s="2">
        <v>2.974</v>
      </c>
      <c r="DN14" s="2">
        <f t="shared" si="32"/>
        <v>0.04625</v>
      </c>
      <c r="DO14" s="2">
        <f t="shared" si="33"/>
        <v>424.8571429</v>
      </c>
      <c r="DT14" s="2">
        <v>0.915</v>
      </c>
      <c r="DU14" s="2">
        <v>3.567</v>
      </c>
      <c r="DV14" s="2">
        <f t="shared" si="34"/>
        <v>0.04575</v>
      </c>
      <c r="DW14" s="2">
        <f t="shared" si="35"/>
        <v>445.875</v>
      </c>
      <c r="EB14" s="2">
        <v>0.915</v>
      </c>
      <c r="EC14" s="2">
        <v>2.237</v>
      </c>
      <c r="ED14" s="2">
        <f t="shared" si="36"/>
        <v>0.04575</v>
      </c>
      <c r="EE14" s="2">
        <f t="shared" si="37"/>
        <v>149.1333333</v>
      </c>
    </row>
    <row r="15">
      <c r="Y15" s="2">
        <v>0.958</v>
      </c>
      <c r="AQ15" s="2">
        <v>0.972</v>
      </c>
      <c r="AR15" s="2">
        <v>0.7</v>
      </c>
      <c r="AS15" s="2">
        <f t="shared" si="13"/>
        <v>0.0486</v>
      </c>
      <c r="AT15" s="2">
        <f t="shared" si="14"/>
        <v>14.89361702</v>
      </c>
      <c r="BG15" s="2">
        <v>1.019</v>
      </c>
      <c r="BH15" s="2">
        <v>5.47</v>
      </c>
      <c r="BI15" s="2">
        <f t="shared" si="17"/>
        <v>0.05095</v>
      </c>
      <c r="BJ15" s="2">
        <f t="shared" si="18"/>
        <v>218.8</v>
      </c>
      <c r="BW15" s="2">
        <v>1.005</v>
      </c>
      <c r="BX15" s="2">
        <v>3.896</v>
      </c>
      <c r="BY15" s="2">
        <f t="shared" si="21"/>
        <v>0.05025</v>
      </c>
      <c r="BZ15" s="2">
        <f t="shared" si="22"/>
        <v>16.23333333</v>
      </c>
      <c r="CV15" s="2">
        <v>1.055</v>
      </c>
      <c r="CW15" s="2">
        <v>4.159</v>
      </c>
      <c r="CX15" s="2">
        <f t="shared" si="28"/>
        <v>0.05275</v>
      </c>
      <c r="CY15" s="2">
        <f t="shared" si="29"/>
        <v>138.6333333</v>
      </c>
      <c r="DL15" s="2">
        <v>0.994</v>
      </c>
      <c r="DM15" s="2">
        <v>3.183</v>
      </c>
      <c r="DN15" s="2">
        <f t="shared" si="32"/>
        <v>0.0497</v>
      </c>
      <c r="DO15" s="2">
        <f t="shared" si="33"/>
        <v>454.7142857</v>
      </c>
      <c r="DT15" s="2">
        <v>0.98</v>
      </c>
      <c r="DU15" s="2">
        <v>3.644</v>
      </c>
      <c r="DV15" s="2">
        <f t="shared" si="34"/>
        <v>0.049</v>
      </c>
      <c r="DW15" s="2">
        <f t="shared" si="35"/>
        <v>455.5</v>
      </c>
      <c r="EB15" s="2">
        <v>0.976</v>
      </c>
      <c r="EC15" s="2">
        <v>1.555</v>
      </c>
      <c r="ED15" s="2">
        <f t="shared" si="36"/>
        <v>0.0488</v>
      </c>
      <c r="EE15" s="2">
        <f t="shared" si="37"/>
        <v>103.6666667</v>
      </c>
    </row>
    <row r="16">
      <c r="Y16" s="2">
        <v>1.017</v>
      </c>
      <c r="BG16" s="2">
        <v>1.093</v>
      </c>
      <c r="BH16" s="2">
        <v>6.101</v>
      </c>
      <c r="BI16" s="2">
        <f t="shared" si="17"/>
        <v>0.05465</v>
      </c>
      <c r="BJ16" s="2">
        <f t="shared" si="18"/>
        <v>244.04</v>
      </c>
      <c r="BW16" s="2">
        <v>1.08</v>
      </c>
      <c r="BX16" s="2">
        <v>3.47</v>
      </c>
      <c r="BY16" s="2">
        <f t="shared" si="21"/>
        <v>0.054</v>
      </c>
      <c r="BZ16" s="2">
        <f t="shared" si="22"/>
        <v>14.45833333</v>
      </c>
      <c r="CV16" s="2">
        <v>1.118</v>
      </c>
      <c r="CW16" s="2">
        <v>3.283</v>
      </c>
      <c r="CX16" s="2">
        <f t="shared" si="28"/>
        <v>0.0559</v>
      </c>
      <c r="CY16" s="2">
        <f t="shared" si="29"/>
        <v>109.4333333</v>
      </c>
      <c r="DL16" s="2">
        <v>1.06</v>
      </c>
      <c r="DM16" s="2">
        <v>3.394</v>
      </c>
      <c r="DN16" s="2">
        <f t="shared" si="32"/>
        <v>0.053</v>
      </c>
      <c r="DO16" s="2">
        <f t="shared" si="33"/>
        <v>484.8571429</v>
      </c>
      <c r="DT16" s="2">
        <v>1.042</v>
      </c>
      <c r="DU16" s="2">
        <v>2.864</v>
      </c>
      <c r="DV16" s="2">
        <f t="shared" si="34"/>
        <v>0.0521</v>
      </c>
      <c r="DW16" s="2">
        <f t="shared" si="35"/>
        <v>358</v>
      </c>
      <c r="EB16" s="2">
        <v>1.055</v>
      </c>
      <c r="EC16" s="2">
        <v>0.812</v>
      </c>
      <c r="ED16" s="2">
        <f t="shared" si="36"/>
        <v>0.05275</v>
      </c>
      <c r="EE16" s="2">
        <f t="shared" si="37"/>
        <v>54.13333333</v>
      </c>
    </row>
    <row r="17">
      <c r="BG17" s="2">
        <v>1.166</v>
      </c>
      <c r="BH17" s="2">
        <v>6.083</v>
      </c>
      <c r="BI17" s="2">
        <f t="shared" si="17"/>
        <v>0.0583</v>
      </c>
      <c r="BJ17" s="2">
        <f t="shared" si="18"/>
        <v>243.32</v>
      </c>
      <c r="BW17" s="2">
        <v>1.159</v>
      </c>
      <c r="BX17" s="2">
        <v>2.78</v>
      </c>
      <c r="BY17" s="2">
        <f t="shared" si="21"/>
        <v>0.05795</v>
      </c>
      <c r="BZ17" s="2">
        <f t="shared" si="22"/>
        <v>11.58333333</v>
      </c>
      <c r="CV17" s="2">
        <v>1.18</v>
      </c>
      <c r="CW17" s="2">
        <v>2.3</v>
      </c>
      <c r="CX17" s="2">
        <f t="shared" si="28"/>
        <v>0.059</v>
      </c>
      <c r="CY17" s="2">
        <f t="shared" si="29"/>
        <v>76.66666667</v>
      </c>
      <c r="DL17" s="2">
        <v>1.115</v>
      </c>
      <c r="DM17" s="2">
        <v>3.575</v>
      </c>
      <c r="DN17" s="2">
        <f t="shared" si="32"/>
        <v>0.05575</v>
      </c>
      <c r="DO17" s="2">
        <f t="shared" si="33"/>
        <v>510.7142857</v>
      </c>
      <c r="DT17" s="2">
        <v>1.107</v>
      </c>
      <c r="DU17" s="2">
        <v>2.236</v>
      </c>
      <c r="DV17" s="2">
        <f t="shared" si="34"/>
        <v>0.05535</v>
      </c>
      <c r="DW17" s="2">
        <f t="shared" si="35"/>
        <v>279.5</v>
      </c>
    </row>
    <row r="18">
      <c r="BG18" s="2">
        <v>1.239</v>
      </c>
      <c r="BH18" s="2">
        <v>4.945</v>
      </c>
      <c r="BI18" s="2">
        <f t="shared" si="17"/>
        <v>0.06195</v>
      </c>
      <c r="BJ18" s="2">
        <f t="shared" si="18"/>
        <v>197.8</v>
      </c>
      <c r="BW18" s="2">
        <v>1.235</v>
      </c>
      <c r="BX18" s="2">
        <v>1.991</v>
      </c>
      <c r="BY18" s="2">
        <f t="shared" si="21"/>
        <v>0.06175</v>
      </c>
      <c r="BZ18" s="2">
        <f t="shared" si="22"/>
        <v>8.295833333</v>
      </c>
      <c r="CV18" s="2">
        <v>1.262</v>
      </c>
      <c r="CW18" s="2">
        <v>1.241</v>
      </c>
      <c r="CX18" s="2">
        <f t="shared" si="28"/>
        <v>0.0631</v>
      </c>
      <c r="CY18" s="2">
        <f t="shared" si="29"/>
        <v>41.36666667</v>
      </c>
      <c r="DL18" s="2">
        <v>1.18</v>
      </c>
      <c r="DM18" s="2">
        <v>3.772</v>
      </c>
      <c r="DN18" s="2">
        <f t="shared" si="32"/>
        <v>0.059</v>
      </c>
      <c r="DO18" s="2">
        <f t="shared" si="33"/>
        <v>538.8571429</v>
      </c>
      <c r="DT18" s="2">
        <v>1.179</v>
      </c>
      <c r="DU18" s="2">
        <v>1.545</v>
      </c>
      <c r="DV18" s="2">
        <f t="shared" si="34"/>
        <v>0.05895</v>
      </c>
      <c r="DW18" s="2">
        <f t="shared" si="35"/>
        <v>193.125</v>
      </c>
    </row>
    <row r="19">
      <c r="BG19" s="2">
        <v>1.307</v>
      </c>
      <c r="BH19" s="2">
        <v>3.707</v>
      </c>
      <c r="BI19" s="2">
        <f t="shared" si="17"/>
        <v>0.06535</v>
      </c>
      <c r="BJ19" s="2">
        <f t="shared" si="18"/>
        <v>148.28</v>
      </c>
      <c r="BW19" s="2">
        <v>1.31</v>
      </c>
      <c r="BX19" s="2">
        <v>1.138</v>
      </c>
      <c r="BY19" s="2">
        <f t="shared" si="21"/>
        <v>0.0655</v>
      </c>
      <c r="BZ19" s="2">
        <f t="shared" si="22"/>
        <v>4.741666667</v>
      </c>
      <c r="DL19" s="2">
        <v>1.18</v>
      </c>
      <c r="DM19" s="2">
        <v>3.921</v>
      </c>
      <c r="DN19" s="2">
        <f t="shared" si="32"/>
        <v>0.059</v>
      </c>
      <c r="DO19" s="2">
        <f t="shared" si="33"/>
        <v>560.1428571</v>
      </c>
    </row>
    <row r="20">
      <c r="BG20" s="2">
        <v>1.372</v>
      </c>
      <c r="BH20" s="2">
        <v>2.42</v>
      </c>
      <c r="BI20" s="2">
        <f t="shared" si="17"/>
        <v>0.0686</v>
      </c>
      <c r="BJ20" s="2">
        <f t="shared" si="18"/>
        <v>96.8</v>
      </c>
      <c r="BW20" s="2">
        <v>1.387</v>
      </c>
      <c r="BX20" s="2">
        <v>0.222</v>
      </c>
      <c r="BY20" s="2">
        <f t="shared" si="21"/>
        <v>0.06935</v>
      </c>
      <c r="BZ20" s="2">
        <f t="shared" si="22"/>
        <v>0.925</v>
      </c>
      <c r="DL20" s="2">
        <v>1.3</v>
      </c>
      <c r="DM20" s="2">
        <v>3.198</v>
      </c>
      <c r="DN20" s="2">
        <f t="shared" si="32"/>
        <v>0.065</v>
      </c>
      <c r="DO20" s="2">
        <f t="shared" si="33"/>
        <v>456.8571429</v>
      </c>
    </row>
    <row r="21" ht="15.75" customHeight="1">
      <c r="DL21" s="2">
        <v>1.38</v>
      </c>
      <c r="DM21" s="2">
        <v>2.437</v>
      </c>
      <c r="DN21" s="2">
        <f t="shared" si="32"/>
        <v>0.069</v>
      </c>
      <c r="DO21" s="2">
        <f t="shared" si="33"/>
        <v>348.1428571</v>
      </c>
    </row>
    <row r="22" ht="15.75" customHeight="1">
      <c r="DL22" s="2">
        <v>1.461</v>
      </c>
      <c r="DM22" s="2">
        <v>1.655</v>
      </c>
      <c r="DN22" s="2">
        <f t="shared" si="32"/>
        <v>0.07305</v>
      </c>
      <c r="DO22" s="2">
        <f t="shared" si="33"/>
        <v>236.4285714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8" width="9.14"/>
    <col customWidth="1" hidden="1" min="49" max="49" width="9.14"/>
    <col customWidth="1" min="50" max="89" width="9.14"/>
    <col customWidth="1" hidden="1" min="90" max="90" width="9.14"/>
    <col customWidth="1" min="91" max="98" width="9.14"/>
    <col customWidth="1" hidden="1" min="99" max="99" width="9.14"/>
    <col customWidth="1" min="100" max="155" width="9.14"/>
    <col customWidth="1" hidden="1" min="156" max="156" width="9.14"/>
    <col customWidth="1" min="157" max="179" width="9.14"/>
  </cols>
  <sheetData>
    <row r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I1" s="2" t="s">
        <v>54</v>
      </c>
      <c r="J1" s="2" t="s">
        <v>55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Q1" s="2" t="s">
        <v>56</v>
      </c>
      <c r="R1" s="2" t="s">
        <v>57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Y1" s="2" t="s">
        <v>58</v>
      </c>
      <c r="Z1" s="2" t="s">
        <v>59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G1" s="2" t="s">
        <v>60</v>
      </c>
      <c r="AH1" s="2" t="s">
        <v>61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O1" s="2" t="s">
        <v>62</v>
      </c>
      <c r="AP1" s="2" t="s">
        <v>63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W1" s="2" t="s">
        <v>64</v>
      </c>
      <c r="AX1" s="2" t="s">
        <v>64</v>
      </c>
      <c r="AY1" s="2" t="s">
        <v>65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F1" s="2" t="s">
        <v>66</v>
      </c>
      <c r="BG1" s="2" t="s">
        <v>67</v>
      </c>
      <c r="BH1" s="2" t="s">
        <v>49</v>
      </c>
      <c r="BI1" s="2" t="s">
        <v>50</v>
      </c>
      <c r="BJ1" s="2" t="s">
        <v>51</v>
      </c>
      <c r="BK1" s="2" t="s">
        <v>52</v>
      </c>
      <c r="BL1" s="2" t="s">
        <v>53</v>
      </c>
      <c r="BN1" s="2" t="s">
        <v>68</v>
      </c>
      <c r="BO1" s="2" t="s">
        <v>69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V1" s="2" t="s">
        <v>70</v>
      </c>
      <c r="BW1" s="2" t="s">
        <v>71</v>
      </c>
      <c r="BX1" s="2" t="s">
        <v>49</v>
      </c>
      <c r="BY1" s="2" t="s">
        <v>50</v>
      </c>
      <c r="BZ1" s="2" t="s">
        <v>51</v>
      </c>
      <c r="CA1" s="2" t="s">
        <v>52</v>
      </c>
      <c r="CB1" s="2" t="s">
        <v>53</v>
      </c>
      <c r="CD1" s="2" t="s">
        <v>72</v>
      </c>
      <c r="CE1" s="2" t="s">
        <v>73</v>
      </c>
      <c r="CF1" s="2" t="s">
        <v>49</v>
      </c>
      <c r="CG1" s="2" t="s">
        <v>50</v>
      </c>
      <c r="CH1" s="2" t="s">
        <v>51</v>
      </c>
      <c r="CI1" s="2" t="s">
        <v>52</v>
      </c>
      <c r="CJ1" s="2" t="s">
        <v>53</v>
      </c>
      <c r="CL1" s="2" t="s">
        <v>74</v>
      </c>
      <c r="CM1" s="2" t="s">
        <v>74</v>
      </c>
      <c r="CN1" s="2" t="s">
        <v>75</v>
      </c>
      <c r="CO1" s="2" t="s">
        <v>49</v>
      </c>
      <c r="CP1" s="2" t="s">
        <v>50</v>
      </c>
      <c r="CQ1" s="2" t="s">
        <v>51</v>
      </c>
      <c r="CR1" s="2" t="s">
        <v>52</v>
      </c>
      <c r="CS1" s="2" t="s">
        <v>53</v>
      </c>
      <c r="CU1" s="2" t="s">
        <v>76</v>
      </c>
      <c r="CV1" s="2" t="s">
        <v>76</v>
      </c>
      <c r="CW1" s="2" t="s">
        <v>77</v>
      </c>
      <c r="CX1" s="2" t="s">
        <v>49</v>
      </c>
      <c r="CY1" s="2" t="s">
        <v>50</v>
      </c>
      <c r="CZ1" s="2" t="s">
        <v>51</v>
      </c>
      <c r="DA1" s="2" t="s">
        <v>52</v>
      </c>
      <c r="DB1" s="2" t="s">
        <v>53</v>
      </c>
      <c r="DD1" s="2" t="s">
        <v>78</v>
      </c>
      <c r="DE1" s="2" t="s">
        <v>79</v>
      </c>
      <c r="DF1" s="2" t="s">
        <v>49</v>
      </c>
      <c r="DG1" s="2" t="s">
        <v>50</v>
      </c>
      <c r="DH1" s="2" t="s">
        <v>51</v>
      </c>
      <c r="DI1" s="2" t="s">
        <v>52</v>
      </c>
      <c r="DJ1" s="2" t="s">
        <v>53</v>
      </c>
      <c r="DL1" s="2" t="s">
        <v>80</v>
      </c>
      <c r="DM1" s="2" t="s">
        <v>81</v>
      </c>
      <c r="DN1" s="2" t="s">
        <v>49</v>
      </c>
      <c r="DO1" s="2" t="s">
        <v>50</v>
      </c>
      <c r="DP1" s="2" t="s">
        <v>51</v>
      </c>
      <c r="DQ1" s="2" t="s">
        <v>52</v>
      </c>
      <c r="DR1" s="2" t="s">
        <v>53</v>
      </c>
      <c r="DT1" s="2" t="s">
        <v>82</v>
      </c>
      <c r="DU1" s="2" t="s">
        <v>83</v>
      </c>
      <c r="DV1" s="2" t="s">
        <v>49</v>
      </c>
      <c r="DW1" s="2" t="s">
        <v>50</v>
      </c>
      <c r="DX1" s="2" t="s">
        <v>51</v>
      </c>
      <c r="DY1" s="2" t="s">
        <v>52</v>
      </c>
      <c r="DZ1" s="2" t="s">
        <v>53</v>
      </c>
      <c r="EB1" s="2" t="s">
        <v>84</v>
      </c>
      <c r="EC1" s="2" t="s">
        <v>85</v>
      </c>
      <c r="ED1" s="2" t="s">
        <v>49</v>
      </c>
      <c r="EE1" s="2" t="s">
        <v>50</v>
      </c>
      <c r="EF1" s="2" t="s">
        <v>51</v>
      </c>
      <c r="EG1" s="2" t="s">
        <v>52</v>
      </c>
      <c r="EH1" s="2" t="s">
        <v>53</v>
      </c>
      <c r="EJ1" s="2" t="s">
        <v>86</v>
      </c>
      <c r="EK1" s="2" t="s">
        <v>87</v>
      </c>
      <c r="EL1" s="2" t="s">
        <v>49</v>
      </c>
      <c r="EM1" s="2" t="s">
        <v>50</v>
      </c>
      <c r="EN1" s="2" t="s">
        <v>51</v>
      </c>
      <c r="EO1" s="2" t="s">
        <v>52</v>
      </c>
      <c r="EP1" s="2" t="s">
        <v>53</v>
      </c>
      <c r="ER1" s="2" t="s">
        <v>88</v>
      </c>
      <c r="ES1" s="2" t="s">
        <v>89</v>
      </c>
      <c r="ET1" s="2" t="s">
        <v>49</v>
      </c>
      <c r="EU1" s="2" t="s">
        <v>50</v>
      </c>
      <c r="EV1" s="2" t="s">
        <v>51</v>
      </c>
      <c r="EW1" s="2" t="s">
        <v>52</v>
      </c>
      <c r="EX1" s="2" t="s">
        <v>53</v>
      </c>
      <c r="EZ1" s="2" t="s">
        <v>90</v>
      </c>
      <c r="FA1" s="2" t="s">
        <v>90</v>
      </c>
      <c r="FB1" s="2" t="s">
        <v>91</v>
      </c>
      <c r="FC1" s="2" t="s">
        <v>49</v>
      </c>
      <c r="FD1" s="2" t="s">
        <v>50</v>
      </c>
      <c r="FE1" s="2" t="s">
        <v>51</v>
      </c>
      <c r="FF1" s="2" t="s">
        <v>52</v>
      </c>
      <c r="FG1" s="2" t="s">
        <v>53</v>
      </c>
      <c r="FI1" s="2" t="s">
        <v>92</v>
      </c>
      <c r="FJ1" s="2" t="s">
        <v>93</v>
      </c>
      <c r="FK1" s="2" t="s">
        <v>49</v>
      </c>
      <c r="FL1" s="2" t="s">
        <v>50</v>
      </c>
      <c r="FM1" s="2" t="s">
        <v>51</v>
      </c>
      <c r="FN1" s="2" t="s">
        <v>52</v>
      </c>
      <c r="FO1" s="2" t="s">
        <v>53</v>
      </c>
      <c r="FQ1" s="2" t="s">
        <v>94</v>
      </c>
      <c r="FR1" s="2" t="s">
        <v>95</v>
      </c>
      <c r="FS1" s="2" t="s">
        <v>49</v>
      </c>
      <c r="FT1" s="2" t="s">
        <v>50</v>
      </c>
      <c r="FU1" s="2" t="s">
        <v>51</v>
      </c>
      <c r="FV1" s="2" t="s">
        <v>52</v>
      </c>
      <c r="FW1" s="2" t="s">
        <v>53</v>
      </c>
    </row>
    <row r="2">
      <c r="A2" s="2">
        <v>0.0</v>
      </c>
      <c r="B2" s="2">
        <v>0.0</v>
      </c>
      <c r="C2" s="2">
        <f t="shared" ref="C2:C17" si="1">A2/20</f>
        <v>0</v>
      </c>
      <c r="D2" s="2">
        <f t="shared" ref="D2:D17" si="2">B2/0.103</f>
        <v>0</v>
      </c>
      <c r="E2" s="2">
        <f>MAX(D2:D17)</f>
        <v>15.73786408</v>
      </c>
      <c r="F2" s="2">
        <f>C13</f>
        <v>0.04995</v>
      </c>
      <c r="G2" s="2">
        <v>421.29</v>
      </c>
      <c r="I2" s="2">
        <v>0.0</v>
      </c>
      <c r="J2" s="2">
        <v>0.0</v>
      </c>
      <c r="K2" s="2">
        <f t="shared" ref="K2:K16" si="3">I2/20</f>
        <v>0</v>
      </c>
      <c r="L2" s="2">
        <f t="shared" ref="L2:L16" si="4">J2/0.128</f>
        <v>0</v>
      </c>
      <c r="M2" s="2">
        <f>MAX(L2:L329)</f>
        <v>19</v>
      </c>
      <c r="N2" s="2">
        <f>K12</f>
        <v>0.04185</v>
      </c>
      <c r="O2" s="2">
        <v>613.25</v>
      </c>
      <c r="Q2" s="2">
        <v>0.0</v>
      </c>
      <c r="R2" s="2">
        <v>0.0</v>
      </c>
      <c r="S2" s="2">
        <f t="shared" ref="S2:S14" si="5">Q2/20</f>
        <v>0</v>
      </c>
      <c r="T2" s="2">
        <f t="shared" ref="T2:T14" si="6">R2/0.063</f>
        <v>0</v>
      </c>
      <c r="U2" s="2">
        <f>MAX(T2:T329)</f>
        <v>51.76190476</v>
      </c>
      <c r="V2" s="2">
        <f>S11</f>
        <v>0.0349</v>
      </c>
      <c r="W2" s="2">
        <v>2337.4</v>
      </c>
      <c r="Y2" s="2">
        <v>0.0</v>
      </c>
      <c r="Z2" s="2">
        <v>0.0</v>
      </c>
      <c r="AA2" s="2">
        <f t="shared" ref="AA2:AA13" si="7">Y2/20</f>
        <v>0</v>
      </c>
      <c r="AB2" s="2">
        <f t="shared" ref="AB2:AB13" si="8">Z2/0.007</f>
        <v>0</v>
      </c>
      <c r="AC2" s="2">
        <f>MAX(AB2:AB329)</f>
        <v>386</v>
      </c>
      <c r="AD2" s="2">
        <f>AA10</f>
        <v>0.03135</v>
      </c>
      <c r="AE2" s="2">
        <v>17252.0</v>
      </c>
      <c r="AG2" s="2">
        <v>0.0</v>
      </c>
      <c r="AH2" s="2">
        <v>0.0</v>
      </c>
      <c r="AI2" s="2">
        <f t="shared" ref="AI2:AI13" si="9">AG2/20</f>
        <v>0</v>
      </c>
      <c r="AJ2" s="2">
        <f t="shared" ref="AJ2:AJ13" si="10">AH2/0.053</f>
        <v>0</v>
      </c>
      <c r="AK2" s="2">
        <f>MAX(AJ2:AJ329)</f>
        <v>69.30188679</v>
      </c>
      <c r="AL2" s="2">
        <f>AI11</f>
        <v>0.03605</v>
      </c>
      <c r="AM2" s="2">
        <v>2729.6</v>
      </c>
      <c r="AO2" s="2">
        <v>0.0</v>
      </c>
      <c r="AP2" s="2">
        <v>0.0</v>
      </c>
      <c r="AQ2" s="2">
        <f t="shared" ref="AQ2:AQ14" si="11">AO2/20</f>
        <v>0</v>
      </c>
      <c r="AR2" s="2">
        <f t="shared" ref="AR2:AR14" si="12">AP2/0.062</f>
        <v>0</v>
      </c>
      <c r="AS2" s="2">
        <f>MAX(AR2:AR329)</f>
        <v>41.69354839</v>
      </c>
      <c r="AT2" s="2">
        <f>AQ11</f>
        <v>0.03595</v>
      </c>
      <c r="AU2" s="2">
        <v>1355.0</v>
      </c>
      <c r="AW2" s="2">
        <v>0.0</v>
      </c>
      <c r="AX2" s="2">
        <f t="shared" ref="AX2:AX21" si="13">AW3-0.081</f>
        <v>0</v>
      </c>
      <c r="AY2" s="2">
        <v>0.0</v>
      </c>
      <c r="AZ2" s="2">
        <f t="shared" ref="AZ2:AZ21" si="14">AX2/20</f>
        <v>0</v>
      </c>
      <c r="BA2" s="2">
        <f t="shared" ref="BA2:BA21" si="15">AY2/0.116</f>
        <v>0</v>
      </c>
      <c r="BB2" s="2">
        <f>MAX(BA2:BA329)</f>
        <v>27.42241379</v>
      </c>
      <c r="BC2" s="2">
        <f>AZ19</f>
        <v>0.05955</v>
      </c>
      <c r="BD2" s="2">
        <v>481.26</v>
      </c>
      <c r="BF2" s="2">
        <v>0.0</v>
      </c>
      <c r="BG2" s="2">
        <v>0.0</v>
      </c>
      <c r="BH2" s="2">
        <f t="shared" ref="BH2:BH10" si="16">BF2/20</f>
        <v>0</v>
      </c>
      <c r="BI2" s="2">
        <f t="shared" ref="BI2:BI10" si="17">BG2/0.068</f>
        <v>0</v>
      </c>
      <c r="BJ2" s="2">
        <f>MAX(BI2:BI329)</f>
        <v>15.17647059</v>
      </c>
      <c r="BK2" s="2">
        <f>BH7</f>
        <v>0.02285</v>
      </c>
      <c r="BL2" s="2">
        <v>926.96</v>
      </c>
      <c r="BN2" s="2">
        <v>0.0</v>
      </c>
      <c r="BO2" s="2">
        <v>0.0</v>
      </c>
      <c r="BP2" s="2">
        <f t="shared" ref="BP2:BP19" si="18">BN2/20</f>
        <v>0</v>
      </c>
      <c r="BQ2" s="2">
        <f t="shared" ref="BQ2:BQ19" si="19">BO2/0.005</f>
        <v>0</v>
      </c>
      <c r="BR2" s="2">
        <f>MAX(BQ2:BQ329)</f>
        <v>944.4</v>
      </c>
      <c r="BS2" s="2">
        <f>BP17</f>
        <v>0.05675</v>
      </c>
      <c r="BT2" s="2">
        <v>15789.0</v>
      </c>
      <c r="BV2" s="2">
        <v>0.0</v>
      </c>
      <c r="BW2" s="2">
        <v>0.0</v>
      </c>
      <c r="BX2" s="2">
        <f t="shared" ref="BX2:BX14" si="20">BV2/20</f>
        <v>0</v>
      </c>
      <c r="BY2" s="2">
        <f t="shared" ref="BY2:BY14" si="21">BW2/0.02</f>
        <v>0</v>
      </c>
      <c r="BZ2" s="2">
        <f>MAX(BY2:BY329)</f>
        <v>67.1</v>
      </c>
      <c r="CA2" s="2">
        <f>BX11</f>
        <v>0.03585</v>
      </c>
      <c r="CB2" s="2">
        <v>2772.6</v>
      </c>
      <c r="CD2" s="2">
        <v>0.0</v>
      </c>
      <c r="CE2" s="2">
        <v>0.0</v>
      </c>
      <c r="CF2" s="2">
        <f t="shared" ref="CF2:CF16" si="22">CD2/20</f>
        <v>0</v>
      </c>
      <c r="CG2" s="2">
        <f t="shared" ref="CG2:CG16" si="23">CE2/0.043</f>
        <v>0</v>
      </c>
      <c r="CH2" s="2">
        <f>MAX(CG2:CG329)</f>
        <v>52.13953488</v>
      </c>
      <c r="CI2" s="2">
        <f>CF12</f>
        <v>0.0405</v>
      </c>
      <c r="CJ2" s="2">
        <v>2317.3</v>
      </c>
      <c r="CL2" s="2">
        <v>0.0</v>
      </c>
      <c r="CM2" s="2">
        <f t="shared" ref="CM2:CM13" si="24">CL3-0.109</f>
        <v>0</v>
      </c>
      <c r="CN2" s="2">
        <v>0.0</v>
      </c>
      <c r="CO2" s="2">
        <f t="shared" ref="CO2:CO13" si="25">CM2/20</f>
        <v>0</v>
      </c>
      <c r="CP2" s="2">
        <f t="shared" ref="CP2:CP13" si="26">CN2/0.014</f>
        <v>0</v>
      </c>
      <c r="CQ2" s="2">
        <f>MAX(CP2:CP13)</f>
        <v>89.5</v>
      </c>
      <c r="CR2" s="2">
        <f>CO10</f>
        <v>0.02855</v>
      </c>
      <c r="CS2" s="2">
        <v>3472.6</v>
      </c>
      <c r="CU2" s="2">
        <v>0.0</v>
      </c>
      <c r="CV2" s="2">
        <f t="shared" ref="CV2:CV11" si="27">CU3-0.142</f>
        <v>0</v>
      </c>
      <c r="CW2" s="2">
        <v>0.0</v>
      </c>
      <c r="CX2" s="2">
        <f t="shared" ref="CX2:CX11" si="28">CV2/20</f>
        <v>0</v>
      </c>
      <c r="CY2" s="2">
        <f t="shared" ref="CY2:CY11" si="29">CW2/0.039</f>
        <v>0</v>
      </c>
      <c r="CZ2" s="2">
        <f>MAX(CY2:CY11)</f>
        <v>15.79487179</v>
      </c>
      <c r="DA2" s="2">
        <f>CX9</f>
        <v>0.0225</v>
      </c>
      <c r="DB2" s="2">
        <v>906.74</v>
      </c>
      <c r="DD2" s="2">
        <v>0.0</v>
      </c>
      <c r="DE2" s="2">
        <v>0.0</v>
      </c>
      <c r="DF2" s="2">
        <f t="shared" ref="DF2:DF14" si="30">DD2/20</f>
        <v>0</v>
      </c>
      <c r="DG2" s="2">
        <f t="shared" ref="DG2:DG14" si="31">DE2/0.121</f>
        <v>0</v>
      </c>
      <c r="DH2" s="2">
        <f>MAX(DG2:DG329)</f>
        <v>9.58677686</v>
      </c>
      <c r="DI2" s="2">
        <f>DF11</f>
        <v>0.034</v>
      </c>
      <c r="DJ2" s="2">
        <v>285.31</v>
      </c>
      <c r="DL2" s="2">
        <v>0.0</v>
      </c>
      <c r="DM2" s="2">
        <v>0.0</v>
      </c>
      <c r="DN2" s="2">
        <f t="shared" ref="DN2:DN10" si="32">DL2/20</f>
        <v>0</v>
      </c>
      <c r="DO2" s="2">
        <f t="shared" ref="DO2:DO10" si="33">DM2/0.031</f>
        <v>0</v>
      </c>
      <c r="DP2" s="2">
        <f>MAX(DO2:DO329)</f>
        <v>54.51612903</v>
      </c>
      <c r="DQ2" s="2">
        <f>DN7</f>
        <v>0.0207</v>
      </c>
      <c r="DR2" s="2">
        <v>4041.2</v>
      </c>
      <c r="DT2" s="2">
        <v>0.0</v>
      </c>
      <c r="DU2" s="2">
        <v>0.0</v>
      </c>
      <c r="DV2" s="2">
        <f t="shared" ref="DV2:DV13" si="34">DT2/20</f>
        <v>0</v>
      </c>
      <c r="DW2" s="2">
        <f t="shared" ref="DW2:DW13" si="35">DU2/0.161</f>
        <v>0</v>
      </c>
      <c r="DX2" s="2">
        <f>MAX(DW2:DW329)</f>
        <v>6.217391304</v>
      </c>
      <c r="DY2" s="2">
        <f>DV10</f>
        <v>0.0326</v>
      </c>
      <c r="DZ2" s="2">
        <v>247.97</v>
      </c>
      <c r="EB2" s="2">
        <v>0.0</v>
      </c>
      <c r="EC2" s="2">
        <v>0.0</v>
      </c>
      <c r="ED2" s="2">
        <f t="shared" ref="ED2:ED13" si="36">EB2/20</f>
        <v>0</v>
      </c>
      <c r="EE2" s="2">
        <f t="shared" ref="EE2:EE13" si="37">EC2/0.054</f>
        <v>0</v>
      </c>
      <c r="EF2" s="2">
        <f>MAX(EE2:EE329)</f>
        <v>15.16666667</v>
      </c>
      <c r="EG2" s="2">
        <f>ED10</f>
        <v>0.03135</v>
      </c>
      <c r="EH2" s="2">
        <v>98.947</v>
      </c>
      <c r="EJ2" s="2">
        <v>0.0</v>
      </c>
      <c r="EK2" s="2">
        <v>0.0</v>
      </c>
      <c r="EL2" s="2">
        <f t="shared" ref="EL2:EL16" si="38">EJ2/20</f>
        <v>0</v>
      </c>
      <c r="EM2" s="2">
        <f t="shared" ref="EM2:EM16" si="39">EK2/0.013</f>
        <v>0</v>
      </c>
      <c r="EN2" s="2">
        <f>MAX(EM2:EM329)</f>
        <v>188.6153846</v>
      </c>
      <c r="EO2" s="2">
        <f>EL16</f>
        <v>0.0525</v>
      </c>
      <c r="EP2" s="2">
        <v>4633.8</v>
      </c>
      <c r="ER2" s="2">
        <v>0.0</v>
      </c>
      <c r="ES2" s="2">
        <v>0.0</v>
      </c>
      <c r="ET2" s="2">
        <f t="shared" ref="ET2:ET15" si="40">ER2/20</f>
        <v>0</v>
      </c>
      <c r="EU2" s="2">
        <f t="shared" ref="EU2:EU15" si="41">ES2/0.375</f>
        <v>0</v>
      </c>
      <c r="EV2" s="2">
        <f>MAX(EU2:EU329)</f>
        <v>3.296</v>
      </c>
      <c r="EW2" s="2">
        <f>ET12</f>
        <v>0.0403</v>
      </c>
      <c r="EX2" s="2">
        <v>121.38</v>
      </c>
      <c r="EZ2" s="2">
        <v>0.0</v>
      </c>
      <c r="FA2" s="2">
        <f t="shared" ref="FA2:FA12" si="42">EZ3-0.154</f>
        <v>0</v>
      </c>
      <c r="FB2" s="2">
        <v>0.0</v>
      </c>
      <c r="FC2" s="2">
        <f t="shared" ref="FC2:FC12" si="43">FA2/20</f>
        <v>0</v>
      </c>
      <c r="FD2" s="2">
        <f t="shared" ref="FD2:FD12" si="44">FC2/0.014</f>
        <v>0</v>
      </c>
      <c r="FE2" s="2">
        <f>MAX(FD2:FD12)</f>
        <v>2.528571429</v>
      </c>
      <c r="FF2" s="2">
        <f>FC12</f>
        <v>0.0354</v>
      </c>
      <c r="FG2" s="2">
        <v>71.429</v>
      </c>
      <c r="FI2" s="2">
        <v>0.0</v>
      </c>
      <c r="FJ2" s="2">
        <v>0.0</v>
      </c>
      <c r="FK2" s="2">
        <f t="shared" ref="FK2:FK12" si="45">FI2/20</f>
        <v>0</v>
      </c>
      <c r="FL2" s="2">
        <f t="shared" ref="FL2:FL12" si="46">FJ2/0.07</f>
        <v>0</v>
      </c>
      <c r="FM2" s="2">
        <f>MAX(FL2:FL329)</f>
        <v>21.22857143</v>
      </c>
      <c r="FN2" s="2">
        <f>FK9</f>
        <v>0.03055</v>
      </c>
      <c r="FO2" s="2">
        <v>985.7</v>
      </c>
      <c r="FQ2" s="2">
        <v>0.0</v>
      </c>
      <c r="FR2" s="2">
        <v>0.0</v>
      </c>
      <c r="FS2" s="2">
        <f t="shared" ref="FS2:FS13" si="47">FQ2/20</f>
        <v>0</v>
      </c>
      <c r="FT2" s="2">
        <f t="shared" ref="FT2:FT13" si="48">FR2/0.007</f>
        <v>0</v>
      </c>
      <c r="FU2" s="2">
        <f>MAX(FT2:FT329)</f>
        <v>169</v>
      </c>
      <c r="FV2" s="2">
        <f>FS10</f>
        <v>0.02985</v>
      </c>
      <c r="FW2" s="2">
        <v>8086.4</v>
      </c>
    </row>
    <row r="3">
      <c r="A3" s="2">
        <v>0.277</v>
      </c>
      <c r="B3" s="2">
        <v>0.094</v>
      </c>
      <c r="C3" s="2">
        <f t="shared" si="1"/>
        <v>0.01385</v>
      </c>
      <c r="D3" s="2">
        <f t="shared" si="2"/>
        <v>0.9126213592</v>
      </c>
      <c r="I3" s="2">
        <v>0.237</v>
      </c>
      <c r="J3" s="2">
        <v>0.13</v>
      </c>
      <c r="K3" s="2">
        <f t="shared" si="3"/>
        <v>0.01185</v>
      </c>
      <c r="L3" s="2">
        <f t="shared" si="4"/>
        <v>1.015625</v>
      </c>
      <c r="Q3" s="2">
        <v>0.15</v>
      </c>
      <c r="R3" s="2">
        <v>0.172</v>
      </c>
      <c r="S3" s="2">
        <f t="shared" si="5"/>
        <v>0.0075</v>
      </c>
      <c r="T3" s="2">
        <f t="shared" si="6"/>
        <v>2.73015873</v>
      </c>
      <c r="Y3" s="2">
        <v>0.155</v>
      </c>
      <c r="Z3" s="2">
        <v>0.113</v>
      </c>
      <c r="AA3" s="2">
        <f t="shared" si="7"/>
        <v>0.00775</v>
      </c>
      <c r="AB3" s="2">
        <f t="shared" si="8"/>
        <v>16.14285714</v>
      </c>
      <c r="AG3" s="2">
        <v>0.15</v>
      </c>
      <c r="AH3" s="2">
        <v>0.155</v>
      </c>
      <c r="AI3" s="2">
        <f t="shared" si="9"/>
        <v>0.0075</v>
      </c>
      <c r="AJ3" s="2">
        <f t="shared" si="10"/>
        <v>2.924528302</v>
      </c>
      <c r="AO3" s="2">
        <v>0.145</v>
      </c>
      <c r="AP3" s="2">
        <v>0.162</v>
      </c>
      <c r="AQ3" s="2">
        <f t="shared" si="11"/>
        <v>0.00725</v>
      </c>
      <c r="AR3" s="2">
        <f t="shared" si="12"/>
        <v>2.612903226</v>
      </c>
      <c r="AW3" s="2">
        <v>0.081</v>
      </c>
      <c r="AX3" s="2">
        <f t="shared" si="13"/>
        <v>0.089</v>
      </c>
      <c r="AY3" s="2">
        <v>0.084</v>
      </c>
      <c r="AZ3" s="2">
        <f t="shared" si="14"/>
        <v>0.00445</v>
      </c>
      <c r="BA3" s="2">
        <f t="shared" si="15"/>
        <v>0.724137931</v>
      </c>
      <c r="BF3" s="2">
        <v>0.161</v>
      </c>
      <c r="BG3" s="2">
        <v>0.126</v>
      </c>
      <c r="BH3" s="2">
        <f t="shared" si="16"/>
        <v>0.00805</v>
      </c>
      <c r="BI3" s="2">
        <f t="shared" si="17"/>
        <v>1.852941176</v>
      </c>
      <c r="BN3" s="2">
        <v>0.155</v>
      </c>
      <c r="BO3" s="2">
        <v>0.217</v>
      </c>
      <c r="BP3" s="2">
        <f t="shared" si="18"/>
        <v>0.00775</v>
      </c>
      <c r="BQ3" s="2">
        <f t="shared" si="19"/>
        <v>43.4</v>
      </c>
      <c r="BV3" s="2">
        <v>0.152</v>
      </c>
      <c r="BW3" s="2">
        <v>0.118</v>
      </c>
      <c r="BX3" s="2">
        <f t="shared" si="20"/>
        <v>0.0076</v>
      </c>
      <c r="BY3" s="2">
        <f t="shared" si="21"/>
        <v>5.9</v>
      </c>
      <c r="CD3" s="2">
        <v>0.201</v>
      </c>
      <c r="CE3" s="2">
        <v>0.199</v>
      </c>
      <c r="CF3" s="2">
        <f t="shared" si="22"/>
        <v>0.01005</v>
      </c>
      <c r="CG3" s="2">
        <f t="shared" si="23"/>
        <v>4.627906977</v>
      </c>
      <c r="CL3" s="2">
        <v>0.109</v>
      </c>
      <c r="CM3" s="2">
        <f t="shared" si="24"/>
        <v>0.098</v>
      </c>
      <c r="CN3" s="2">
        <v>0.069</v>
      </c>
      <c r="CO3" s="2">
        <f t="shared" si="25"/>
        <v>0.0049</v>
      </c>
      <c r="CP3" s="2">
        <f t="shared" si="26"/>
        <v>4.928571429</v>
      </c>
      <c r="CU3" s="2">
        <v>0.142</v>
      </c>
      <c r="CV3" s="2">
        <f t="shared" si="27"/>
        <v>0.069</v>
      </c>
      <c r="CW3" s="2">
        <v>0.057</v>
      </c>
      <c r="CX3" s="2">
        <f t="shared" si="28"/>
        <v>0.00345</v>
      </c>
      <c r="CY3" s="2">
        <f t="shared" si="29"/>
        <v>1.461538462</v>
      </c>
      <c r="DD3" s="2">
        <v>0.148</v>
      </c>
      <c r="DE3" s="2">
        <v>0.101</v>
      </c>
      <c r="DF3" s="2">
        <f t="shared" si="30"/>
        <v>0.0074</v>
      </c>
      <c r="DG3" s="2">
        <f t="shared" si="31"/>
        <v>0.8347107438</v>
      </c>
      <c r="DL3" s="2">
        <v>0.15</v>
      </c>
      <c r="DM3" s="2">
        <v>0.179</v>
      </c>
      <c r="DN3" s="2">
        <f t="shared" si="32"/>
        <v>0.0075</v>
      </c>
      <c r="DO3" s="2">
        <f t="shared" si="33"/>
        <v>5.774193548</v>
      </c>
      <c r="DT3" s="2">
        <v>0.152</v>
      </c>
      <c r="DU3" s="2">
        <v>0.059</v>
      </c>
      <c r="DV3" s="2">
        <f t="shared" si="34"/>
        <v>0.0076</v>
      </c>
      <c r="DW3" s="2">
        <f t="shared" si="35"/>
        <v>0.3664596273</v>
      </c>
      <c r="EB3" s="2">
        <v>0.152</v>
      </c>
      <c r="EC3" s="2">
        <v>0.054</v>
      </c>
      <c r="ED3" s="2">
        <f t="shared" si="36"/>
        <v>0.0076</v>
      </c>
      <c r="EE3" s="2">
        <f t="shared" si="37"/>
        <v>1</v>
      </c>
      <c r="EJ3" s="2">
        <v>0.163</v>
      </c>
      <c r="EK3" s="2">
        <v>0.094</v>
      </c>
      <c r="EL3" s="2">
        <f t="shared" si="38"/>
        <v>0.00815</v>
      </c>
      <c r="EM3" s="2">
        <f t="shared" si="39"/>
        <v>7.230769231</v>
      </c>
      <c r="ER3" s="2">
        <v>0.19</v>
      </c>
      <c r="ES3" s="2">
        <v>0.113</v>
      </c>
      <c r="ET3" s="2">
        <f t="shared" si="40"/>
        <v>0.0095</v>
      </c>
      <c r="EU3" s="2">
        <f t="shared" si="41"/>
        <v>0.3013333333</v>
      </c>
      <c r="EZ3" s="2">
        <v>0.154</v>
      </c>
      <c r="FA3" s="2">
        <f t="shared" si="42"/>
        <v>0.067</v>
      </c>
      <c r="FB3" s="2">
        <v>0.025</v>
      </c>
      <c r="FC3" s="2">
        <f t="shared" si="43"/>
        <v>0.00335</v>
      </c>
      <c r="FD3" s="2">
        <f t="shared" si="44"/>
        <v>0.2392857143</v>
      </c>
      <c r="FI3" s="2">
        <v>0.16</v>
      </c>
      <c r="FJ3" s="2">
        <v>0.089</v>
      </c>
      <c r="FK3" s="2">
        <f t="shared" si="45"/>
        <v>0.008</v>
      </c>
      <c r="FL3" s="2">
        <f t="shared" si="46"/>
        <v>1.271428571</v>
      </c>
      <c r="FQ3" s="2">
        <v>0.092</v>
      </c>
      <c r="FR3" s="2">
        <v>0.064</v>
      </c>
      <c r="FS3" s="2">
        <f t="shared" si="47"/>
        <v>0.0046</v>
      </c>
      <c r="FT3" s="2">
        <f t="shared" si="48"/>
        <v>9.142857143</v>
      </c>
    </row>
    <row r="4">
      <c r="A4" s="2">
        <v>0.343</v>
      </c>
      <c r="B4" s="2">
        <v>0.218</v>
      </c>
      <c r="C4" s="2">
        <f t="shared" si="1"/>
        <v>0.01715</v>
      </c>
      <c r="D4" s="2">
        <f t="shared" si="2"/>
        <v>2.116504854</v>
      </c>
      <c r="I4" s="2">
        <v>0.301</v>
      </c>
      <c r="J4" s="2">
        <v>0.32</v>
      </c>
      <c r="K4" s="2">
        <f t="shared" si="3"/>
        <v>0.01505</v>
      </c>
      <c r="L4" s="2">
        <f t="shared" si="4"/>
        <v>2.5</v>
      </c>
      <c r="Q4" s="2">
        <v>0.219</v>
      </c>
      <c r="R4" s="2">
        <v>0.434</v>
      </c>
      <c r="S4" s="2">
        <f t="shared" si="5"/>
        <v>0.01095</v>
      </c>
      <c r="T4" s="2">
        <f t="shared" si="6"/>
        <v>6.888888889</v>
      </c>
      <c r="Y4" s="2">
        <v>0.221</v>
      </c>
      <c r="Z4" s="2">
        <v>0.302</v>
      </c>
      <c r="AA4" s="2">
        <f t="shared" si="7"/>
        <v>0.01105</v>
      </c>
      <c r="AB4" s="2">
        <f t="shared" si="8"/>
        <v>43.14285714</v>
      </c>
      <c r="AG4" s="2">
        <v>0.224</v>
      </c>
      <c r="AH4" s="2">
        <v>0.41</v>
      </c>
      <c r="AI4" s="2">
        <f t="shared" si="9"/>
        <v>0.0112</v>
      </c>
      <c r="AJ4" s="2">
        <f t="shared" si="10"/>
        <v>7.735849057</v>
      </c>
      <c r="AO4" s="2">
        <v>0.212</v>
      </c>
      <c r="AP4" s="2">
        <v>0.391</v>
      </c>
      <c r="AQ4" s="2">
        <f t="shared" si="11"/>
        <v>0.0106</v>
      </c>
      <c r="AR4" s="2">
        <f t="shared" si="12"/>
        <v>6.306451613</v>
      </c>
      <c r="AW4" s="2">
        <v>0.17</v>
      </c>
      <c r="AX4" s="2">
        <f t="shared" si="13"/>
        <v>0.154</v>
      </c>
      <c r="AY4" s="2">
        <v>0.206</v>
      </c>
      <c r="AZ4" s="2">
        <f t="shared" si="14"/>
        <v>0.0077</v>
      </c>
      <c r="BA4" s="2">
        <f t="shared" si="15"/>
        <v>1.775862069</v>
      </c>
      <c r="BF4" s="2">
        <v>0.229</v>
      </c>
      <c r="BG4" s="2">
        <v>0.302</v>
      </c>
      <c r="BH4" s="2">
        <f t="shared" si="16"/>
        <v>0.01145</v>
      </c>
      <c r="BI4" s="2">
        <f t="shared" si="17"/>
        <v>4.441176471</v>
      </c>
      <c r="BN4" s="2">
        <v>0.219</v>
      </c>
      <c r="BO4" s="2">
        <v>0.53</v>
      </c>
      <c r="BP4" s="2">
        <f t="shared" si="18"/>
        <v>0.01095</v>
      </c>
      <c r="BQ4" s="2">
        <f t="shared" si="19"/>
        <v>106</v>
      </c>
      <c r="BV4" s="2">
        <v>0.222</v>
      </c>
      <c r="BW4" s="2">
        <v>0.268</v>
      </c>
      <c r="BX4" s="2">
        <f t="shared" si="20"/>
        <v>0.0111</v>
      </c>
      <c r="BY4" s="2">
        <f t="shared" si="21"/>
        <v>13.4</v>
      </c>
      <c r="CD4" s="2">
        <v>0.267</v>
      </c>
      <c r="CE4" s="2">
        <v>0.464</v>
      </c>
      <c r="CF4" s="2">
        <f t="shared" si="22"/>
        <v>0.01335</v>
      </c>
      <c r="CG4" s="2">
        <f t="shared" si="23"/>
        <v>10.79069767</v>
      </c>
      <c r="CL4" s="2">
        <v>0.207</v>
      </c>
      <c r="CM4" s="2">
        <f t="shared" si="24"/>
        <v>0.161</v>
      </c>
      <c r="CN4" s="2">
        <v>0.17</v>
      </c>
      <c r="CO4" s="2">
        <f t="shared" si="25"/>
        <v>0.00805</v>
      </c>
      <c r="CP4" s="2">
        <f t="shared" si="26"/>
        <v>12.14285714</v>
      </c>
      <c r="CU4" s="2">
        <v>0.211</v>
      </c>
      <c r="CV4" s="2">
        <f t="shared" si="27"/>
        <v>0.121</v>
      </c>
      <c r="CW4" s="2">
        <v>0.143</v>
      </c>
      <c r="CX4" s="2">
        <f t="shared" si="28"/>
        <v>0.00605</v>
      </c>
      <c r="CY4" s="2">
        <f t="shared" si="29"/>
        <v>3.666666667</v>
      </c>
      <c r="DD4" s="2">
        <v>0.215</v>
      </c>
      <c r="DE4" s="2">
        <v>0.229</v>
      </c>
      <c r="DF4" s="2">
        <f t="shared" si="30"/>
        <v>0.01075</v>
      </c>
      <c r="DG4" s="2">
        <f t="shared" si="31"/>
        <v>1.892561983</v>
      </c>
      <c r="DL4" s="2">
        <v>0.215</v>
      </c>
      <c r="DM4" s="2">
        <v>0.472</v>
      </c>
      <c r="DN4" s="2">
        <f t="shared" si="32"/>
        <v>0.01075</v>
      </c>
      <c r="DO4" s="2">
        <f t="shared" si="33"/>
        <v>15.22580645</v>
      </c>
      <c r="DT4" s="2">
        <v>0.224</v>
      </c>
      <c r="DU4" s="2">
        <v>0.157</v>
      </c>
      <c r="DV4" s="2">
        <f t="shared" si="34"/>
        <v>0.0112</v>
      </c>
      <c r="DW4" s="2">
        <f t="shared" si="35"/>
        <v>0.9751552795</v>
      </c>
      <c r="EB4" s="2">
        <v>0.222</v>
      </c>
      <c r="EC4" s="2">
        <v>0.145</v>
      </c>
      <c r="ED4" s="2">
        <f t="shared" si="36"/>
        <v>0.0111</v>
      </c>
      <c r="EE4" s="2">
        <f t="shared" si="37"/>
        <v>2.685185185</v>
      </c>
      <c r="EJ4" s="2">
        <v>0.229</v>
      </c>
      <c r="EK4" s="2">
        <v>0.238</v>
      </c>
      <c r="EL4" s="2">
        <f t="shared" si="38"/>
        <v>0.01145</v>
      </c>
      <c r="EM4" s="2">
        <f t="shared" si="39"/>
        <v>18.30769231</v>
      </c>
      <c r="ER4" s="2">
        <v>0.262</v>
      </c>
      <c r="ES4" s="2">
        <v>0.261</v>
      </c>
      <c r="ET4" s="2">
        <f t="shared" si="40"/>
        <v>0.0131</v>
      </c>
      <c r="EU4" s="2">
        <f t="shared" si="41"/>
        <v>0.696</v>
      </c>
      <c r="EZ4" s="2">
        <v>0.221</v>
      </c>
      <c r="FA4" s="2">
        <f t="shared" si="42"/>
        <v>0.067</v>
      </c>
      <c r="FB4" s="2">
        <v>0.049</v>
      </c>
      <c r="FC4" s="2">
        <f t="shared" si="43"/>
        <v>0.00335</v>
      </c>
      <c r="FD4" s="2">
        <f t="shared" si="44"/>
        <v>0.2392857143</v>
      </c>
      <c r="FI4" s="2">
        <v>0.242</v>
      </c>
      <c r="FJ4" s="2">
        <v>0.238</v>
      </c>
      <c r="FK4" s="2">
        <f t="shared" si="45"/>
        <v>0.0121</v>
      </c>
      <c r="FL4" s="2">
        <f t="shared" si="46"/>
        <v>3.4</v>
      </c>
      <c r="FQ4" s="2">
        <v>0.186</v>
      </c>
      <c r="FR4" s="2">
        <v>0.189</v>
      </c>
      <c r="FS4" s="2">
        <f t="shared" si="47"/>
        <v>0.0093</v>
      </c>
      <c r="FT4" s="2">
        <f t="shared" si="48"/>
        <v>27</v>
      </c>
    </row>
    <row r="5">
      <c r="A5" s="2">
        <v>0.407</v>
      </c>
      <c r="B5" s="2">
        <v>0.369</v>
      </c>
      <c r="C5" s="2">
        <f t="shared" si="1"/>
        <v>0.02035</v>
      </c>
      <c r="D5" s="2">
        <f t="shared" si="2"/>
        <v>3.582524272</v>
      </c>
      <c r="I5" s="2">
        <v>0.379</v>
      </c>
      <c r="J5" s="2">
        <v>0.559</v>
      </c>
      <c r="K5" s="2">
        <f t="shared" si="3"/>
        <v>0.01895</v>
      </c>
      <c r="L5" s="2">
        <f t="shared" si="4"/>
        <v>4.3671875</v>
      </c>
      <c r="Q5" s="2">
        <v>0.219</v>
      </c>
      <c r="R5" s="2">
        <v>0.696</v>
      </c>
      <c r="S5" s="2">
        <f t="shared" si="5"/>
        <v>0.01095</v>
      </c>
      <c r="T5" s="2">
        <f t="shared" si="6"/>
        <v>11.04761905</v>
      </c>
      <c r="Y5" s="2">
        <v>0.283</v>
      </c>
      <c r="Z5" s="2">
        <v>0.562</v>
      </c>
      <c r="AA5" s="2">
        <f t="shared" si="7"/>
        <v>0.01415</v>
      </c>
      <c r="AB5" s="2">
        <f t="shared" si="8"/>
        <v>80.28571429</v>
      </c>
      <c r="AG5" s="2">
        <v>0.282</v>
      </c>
      <c r="AH5" s="2">
        <v>0.741</v>
      </c>
      <c r="AI5" s="2">
        <f t="shared" si="9"/>
        <v>0.0141</v>
      </c>
      <c r="AJ5" s="2">
        <f t="shared" si="10"/>
        <v>13.98113208</v>
      </c>
      <c r="AO5" s="2">
        <v>0.286</v>
      </c>
      <c r="AP5" s="2">
        <v>0.664</v>
      </c>
      <c r="AQ5" s="2">
        <f t="shared" si="11"/>
        <v>0.0143</v>
      </c>
      <c r="AR5" s="2">
        <f t="shared" si="12"/>
        <v>10.70967742</v>
      </c>
      <c r="AW5" s="2">
        <v>0.235</v>
      </c>
      <c r="AX5" s="2">
        <f t="shared" si="13"/>
        <v>0.233</v>
      </c>
      <c r="AY5" s="2">
        <v>0.381</v>
      </c>
      <c r="AZ5" s="2">
        <f t="shared" si="14"/>
        <v>0.01165</v>
      </c>
      <c r="BA5" s="2">
        <f t="shared" si="15"/>
        <v>3.284482759</v>
      </c>
      <c r="BF5" s="2">
        <v>0.3</v>
      </c>
      <c r="BG5" s="2">
        <v>0.54</v>
      </c>
      <c r="BH5" s="2">
        <f t="shared" si="16"/>
        <v>0.015</v>
      </c>
      <c r="BI5" s="2">
        <f t="shared" si="17"/>
        <v>7.941176471</v>
      </c>
      <c r="BN5" s="2">
        <v>0.285</v>
      </c>
      <c r="BO5" s="2">
        <v>0.919</v>
      </c>
      <c r="BP5" s="2">
        <f t="shared" si="18"/>
        <v>0.01425</v>
      </c>
      <c r="BQ5" s="2">
        <f t="shared" si="19"/>
        <v>183.8</v>
      </c>
      <c r="BV5" s="2">
        <v>0.285</v>
      </c>
      <c r="BW5" s="2">
        <v>0.442</v>
      </c>
      <c r="BX5" s="2">
        <f t="shared" si="20"/>
        <v>0.01425</v>
      </c>
      <c r="BY5" s="2">
        <f t="shared" si="21"/>
        <v>22.1</v>
      </c>
      <c r="CD5" s="2">
        <v>0.333</v>
      </c>
      <c r="CE5" s="2">
        <v>0.758</v>
      </c>
      <c r="CF5" s="2">
        <f t="shared" si="22"/>
        <v>0.01665</v>
      </c>
      <c r="CG5" s="2">
        <f t="shared" si="23"/>
        <v>17.62790698</v>
      </c>
      <c r="CL5" s="2">
        <v>0.27</v>
      </c>
      <c r="CM5" s="2">
        <f t="shared" si="24"/>
        <v>0.232</v>
      </c>
      <c r="CN5" s="2">
        <v>0.307</v>
      </c>
      <c r="CO5" s="2">
        <f t="shared" si="25"/>
        <v>0.0116</v>
      </c>
      <c r="CP5" s="2">
        <f t="shared" si="26"/>
        <v>21.92857143</v>
      </c>
      <c r="CU5" s="2">
        <v>0.263</v>
      </c>
      <c r="CV5" s="2">
        <f t="shared" si="27"/>
        <v>0.193</v>
      </c>
      <c r="CW5" s="2">
        <v>0.243</v>
      </c>
      <c r="CX5" s="2">
        <f t="shared" si="28"/>
        <v>0.00965</v>
      </c>
      <c r="CY5" s="2">
        <f t="shared" si="29"/>
        <v>6.230769231</v>
      </c>
      <c r="DD5" s="2">
        <v>0.299</v>
      </c>
      <c r="DE5" s="2">
        <v>0.385</v>
      </c>
      <c r="DF5" s="2">
        <f t="shared" si="30"/>
        <v>0.01495</v>
      </c>
      <c r="DG5" s="2">
        <f t="shared" si="31"/>
        <v>3.181818182</v>
      </c>
      <c r="DL5" s="2">
        <v>0.28</v>
      </c>
      <c r="DM5" s="2">
        <v>0.888</v>
      </c>
      <c r="DN5" s="2">
        <f t="shared" si="32"/>
        <v>0.014</v>
      </c>
      <c r="DO5" s="2">
        <f t="shared" si="33"/>
        <v>28.64516129</v>
      </c>
      <c r="DT5" s="2">
        <v>0.29</v>
      </c>
      <c r="DU5" s="2">
        <v>0.288</v>
      </c>
      <c r="DV5" s="2">
        <f t="shared" si="34"/>
        <v>0.0145</v>
      </c>
      <c r="DW5" s="2">
        <f t="shared" si="35"/>
        <v>1.788819876</v>
      </c>
      <c r="EB5" s="2">
        <v>0.282</v>
      </c>
      <c r="EC5" s="2">
        <v>0.265</v>
      </c>
      <c r="ED5" s="2">
        <f t="shared" si="36"/>
        <v>0.0141</v>
      </c>
      <c r="EE5" s="2">
        <f t="shared" si="37"/>
        <v>4.907407407</v>
      </c>
      <c r="EJ5" s="2">
        <v>0.299</v>
      </c>
      <c r="EK5" s="2">
        <v>0.435</v>
      </c>
      <c r="EL5" s="2">
        <f t="shared" si="38"/>
        <v>0.01495</v>
      </c>
      <c r="EM5" s="2">
        <f t="shared" si="39"/>
        <v>33.46153846</v>
      </c>
      <c r="ER5" s="2">
        <v>0.325</v>
      </c>
      <c r="ES5" s="2">
        <v>0.418</v>
      </c>
      <c r="ET5" s="2">
        <f t="shared" si="40"/>
        <v>0.01625</v>
      </c>
      <c r="EU5" s="2">
        <f t="shared" si="41"/>
        <v>1.114666667</v>
      </c>
      <c r="EZ5" s="2">
        <v>0.221</v>
      </c>
      <c r="FA5" s="2">
        <f t="shared" si="42"/>
        <v>0.211</v>
      </c>
      <c r="FB5" s="2">
        <v>0.116</v>
      </c>
      <c r="FC5" s="2">
        <f t="shared" si="43"/>
        <v>0.01055</v>
      </c>
      <c r="FD5" s="2">
        <f t="shared" si="44"/>
        <v>0.7535714286</v>
      </c>
      <c r="FI5" s="2">
        <v>0.311</v>
      </c>
      <c r="FJ5" s="2">
        <v>0.435</v>
      </c>
      <c r="FK5" s="2">
        <f t="shared" si="45"/>
        <v>0.01555</v>
      </c>
      <c r="FL5" s="2">
        <f t="shared" si="46"/>
        <v>6.214285714</v>
      </c>
      <c r="FQ5" s="2">
        <v>0.263</v>
      </c>
      <c r="FR5" s="2">
        <v>0.364</v>
      </c>
      <c r="FS5" s="2">
        <f t="shared" si="47"/>
        <v>0.01315</v>
      </c>
      <c r="FT5" s="2">
        <f t="shared" si="48"/>
        <v>52</v>
      </c>
    </row>
    <row r="6">
      <c r="A6" s="2">
        <v>0.49</v>
      </c>
      <c r="B6" s="2">
        <v>0.55</v>
      </c>
      <c r="C6" s="2">
        <f t="shared" si="1"/>
        <v>0.0245</v>
      </c>
      <c r="D6" s="2">
        <f t="shared" si="2"/>
        <v>5.339805825</v>
      </c>
      <c r="I6" s="2">
        <v>0.449</v>
      </c>
      <c r="J6" s="2">
        <v>0.856</v>
      </c>
      <c r="K6" s="2">
        <f t="shared" si="3"/>
        <v>0.02245</v>
      </c>
      <c r="L6" s="2">
        <f t="shared" si="4"/>
        <v>6.6875</v>
      </c>
      <c r="Q6" s="2">
        <v>0.34</v>
      </c>
      <c r="R6" s="2">
        <v>1.134</v>
      </c>
      <c r="S6" s="2">
        <f t="shared" si="5"/>
        <v>0.017</v>
      </c>
      <c r="T6" s="2">
        <f t="shared" si="6"/>
        <v>18</v>
      </c>
      <c r="Y6" s="2">
        <v>0.345</v>
      </c>
      <c r="Z6" s="2">
        <v>0.903</v>
      </c>
      <c r="AA6" s="2">
        <f t="shared" si="7"/>
        <v>0.01725</v>
      </c>
      <c r="AB6" s="2">
        <f t="shared" si="8"/>
        <v>129</v>
      </c>
      <c r="AG6" s="2">
        <v>0.342</v>
      </c>
      <c r="AH6" s="2">
        <v>1.163</v>
      </c>
      <c r="AI6" s="2">
        <f t="shared" si="9"/>
        <v>0.0171</v>
      </c>
      <c r="AJ6" s="2">
        <f t="shared" si="10"/>
        <v>21.94339623</v>
      </c>
      <c r="AO6" s="2">
        <v>0.372</v>
      </c>
      <c r="AP6" s="2">
        <v>1.015</v>
      </c>
      <c r="AQ6" s="2">
        <f t="shared" si="11"/>
        <v>0.0186</v>
      </c>
      <c r="AR6" s="2">
        <f t="shared" si="12"/>
        <v>16.37096774</v>
      </c>
      <c r="AW6" s="2">
        <v>0.314</v>
      </c>
      <c r="AX6" s="2">
        <f t="shared" si="13"/>
        <v>0.304</v>
      </c>
      <c r="AY6" s="2">
        <v>0.589</v>
      </c>
      <c r="AZ6" s="2">
        <f t="shared" si="14"/>
        <v>0.0152</v>
      </c>
      <c r="BA6" s="2">
        <f t="shared" si="15"/>
        <v>5.077586207</v>
      </c>
      <c r="BF6" s="2">
        <v>0.384</v>
      </c>
      <c r="BG6" s="2">
        <v>0.841</v>
      </c>
      <c r="BH6" s="2">
        <f t="shared" si="16"/>
        <v>0.0192</v>
      </c>
      <c r="BI6" s="2">
        <f t="shared" si="17"/>
        <v>12.36764706</v>
      </c>
      <c r="BN6" s="2">
        <v>0.345</v>
      </c>
      <c r="BO6" s="2">
        <v>1.369</v>
      </c>
      <c r="BP6" s="2">
        <f t="shared" si="18"/>
        <v>0.01725</v>
      </c>
      <c r="BQ6" s="2">
        <f t="shared" si="19"/>
        <v>273.8</v>
      </c>
      <c r="BV6" s="2">
        <v>0.343</v>
      </c>
      <c r="BW6" s="2">
        <v>0.629</v>
      </c>
      <c r="BX6" s="2">
        <f t="shared" si="20"/>
        <v>0.01715</v>
      </c>
      <c r="BY6" s="2">
        <f t="shared" si="21"/>
        <v>31.45</v>
      </c>
      <c r="CD6" s="2">
        <v>0.387</v>
      </c>
      <c r="CE6" s="2">
        <v>1.079</v>
      </c>
      <c r="CF6" s="2">
        <f t="shared" si="22"/>
        <v>0.01935</v>
      </c>
      <c r="CG6" s="2">
        <f t="shared" si="23"/>
        <v>25.09302326</v>
      </c>
      <c r="CL6" s="2">
        <v>0.341</v>
      </c>
      <c r="CM6" s="2">
        <f t="shared" si="24"/>
        <v>0.301</v>
      </c>
      <c r="CN6" s="2">
        <v>0.471</v>
      </c>
      <c r="CO6" s="2">
        <f t="shared" si="25"/>
        <v>0.01505</v>
      </c>
      <c r="CP6" s="2">
        <f t="shared" si="26"/>
        <v>33.64285714</v>
      </c>
      <c r="CU6" s="2">
        <v>0.335</v>
      </c>
      <c r="CV6" s="2">
        <f t="shared" si="27"/>
        <v>0.243</v>
      </c>
      <c r="CW6" s="2">
        <v>0.354</v>
      </c>
      <c r="CX6" s="2">
        <f t="shared" si="28"/>
        <v>0.01215</v>
      </c>
      <c r="CY6" s="2">
        <f t="shared" si="29"/>
        <v>9.076923077</v>
      </c>
      <c r="DD6" s="2">
        <v>0.34</v>
      </c>
      <c r="DE6" s="2">
        <v>0.564</v>
      </c>
      <c r="DF6" s="2">
        <f t="shared" si="30"/>
        <v>0.017</v>
      </c>
      <c r="DG6" s="2">
        <f t="shared" si="31"/>
        <v>4.661157025</v>
      </c>
      <c r="DL6" s="2">
        <v>0.351</v>
      </c>
      <c r="DM6" s="2">
        <v>1.432</v>
      </c>
      <c r="DN6" s="2">
        <f t="shared" si="32"/>
        <v>0.01755</v>
      </c>
      <c r="DO6" s="2">
        <f t="shared" si="33"/>
        <v>46.19354839</v>
      </c>
      <c r="DT6" s="2">
        <v>0.365</v>
      </c>
      <c r="DU6" s="2">
        <v>0.454</v>
      </c>
      <c r="DV6" s="2">
        <f t="shared" si="34"/>
        <v>0.01825</v>
      </c>
      <c r="DW6" s="2">
        <f t="shared" si="35"/>
        <v>2.819875776</v>
      </c>
      <c r="EB6" s="2">
        <v>0.342</v>
      </c>
      <c r="EC6" s="2">
        <v>0.398</v>
      </c>
      <c r="ED6" s="2">
        <f t="shared" si="36"/>
        <v>0.0171</v>
      </c>
      <c r="EE6" s="2">
        <f t="shared" si="37"/>
        <v>7.37037037</v>
      </c>
      <c r="EJ6" s="2">
        <v>0.36</v>
      </c>
      <c r="EK6" s="2">
        <v>0.665</v>
      </c>
      <c r="EL6" s="2">
        <f t="shared" si="38"/>
        <v>0.018</v>
      </c>
      <c r="EM6" s="2">
        <f t="shared" si="39"/>
        <v>51.15384615</v>
      </c>
      <c r="ER6" s="2">
        <v>0.395</v>
      </c>
      <c r="ES6" s="2">
        <v>0.609</v>
      </c>
      <c r="ET6" s="2">
        <f t="shared" si="40"/>
        <v>0.01975</v>
      </c>
      <c r="EU6" s="2">
        <f t="shared" si="41"/>
        <v>1.624</v>
      </c>
      <c r="EZ6" s="2">
        <v>0.365</v>
      </c>
      <c r="FA6" s="2">
        <f t="shared" si="42"/>
        <v>0.288</v>
      </c>
      <c r="FB6" s="2">
        <v>0.18</v>
      </c>
      <c r="FC6" s="2">
        <f t="shared" si="43"/>
        <v>0.0144</v>
      </c>
      <c r="FD6" s="2">
        <f t="shared" si="44"/>
        <v>1.028571429</v>
      </c>
      <c r="FI6" s="2">
        <v>0.39</v>
      </c>
      <c r="FJ6" s="2">
        <v>0.683</v>
      </c>
      <c r="FK6" s="2">
        <f t="shared" si="45"/>
        <v>0.0195</v>
      </c>
      <c r="FL6" s="2">
        <f t="shared" si="46"/>
        <v>9.757142857</v>
      </c>
      <c r="FQ6" s="2">
        <v>0.337</v>
      </c>
      <c r="FR6" s="2">
        <v>0.57</v>
      </c>
      <c r="FS6" s="2">
        <f t="shared" si="47"/>
        <v>0.01685</v>
      </c>
      <c r="FT6" s="2">
        <f t="shared" si="48"/>
        <v>81.42857143</v>
      </c>
    </row>
    <row r="7">
      <c r="A7" s="2">
        <v>0.565</v>
      </c>
      <c r="B7" s="2">
        <v>0.76</v>
      </c>
      <c r="C7" s="2">
        <f t="shared" si="1"/>
        <v>0.02825</v>
      </c>
      <c r="D7" s="2">
        <f t="shared" si="2"/>
        <v>7.378640777</v>
      </c>
      <c r="I7" s="2">
        <v>0.51</v>
      </c>
      <c r="J7" s="2">
        <v>1.192</v>
      </c>
      <c r="K7" s="2">
        <f t="shared" si="3"/>
        <v>0.0255</v>
      </c>
      <c r="L7" s="2">
        <f t="shared" si="4"/>
        <v>9.3125</v>
      </c>
      <c r="Q7" s="2">
        <v>0.41</v>
      </c>
      <c r="R7" s="2">
        <v>1.672</v>
      </c>
      <c r="S7" s="2">
        <f t="shared" si="5"/>
        <v>0.0205</v>
      </c>
      <c r="T7" s="2">
        <f t="shared" si="6"/>
        <v>26.53968254</v>
      </c>
      <c r="Y7" s="2">
        <v>0.422</v>
      </c>
      <c r="Z7" s="2">
        <v>1.356</v>
      </c>
      <c r="AA7" s="2">
        <f t="shared" si="7"/>
        <v>0.0211</v>
      </c>
      <c r="AB7" s="2">
        <f t="shared" si="8"/>
        <v>193.7142857</v>
      </c>
      <c r="AG7" s="2">
        <v>0.435</v>
      </c>
      <c r="AH7" s="2">
        <v>1.721</v>
      </c>
      <c r="AI7" s="2">
        <f t="shared" si="9"/>
        <v>0.02175</v>
      </c>
      <c r="AJ7" s="2">
        <f t="shared" si="10"/>
        <v>32.47169811</v>
      </c>
      <c r="AO7" s="2">
        <v>0.44</v>
      </c>
      <c r="AP7" s="2">
        <v>1.425</v>
      </c>
      <c r="AQ7" s="2">
        <f t="shared" si="11"/>
        <v>0.022</v>
      </c>
      <c r="AR7" s="2">
        <f t="shared" si="12"/>
        <v>22.98387097</v>
      </c>
      <c r="AW7" s="2">
        <v>0.385</v>
      </c>
      <c r="AX7" s="2">
        <f t="shared" si="13"/>
        <v>0.367</v>
      </c>
      <c r="AY7" s="2">
        <v>0.829</v>
      </c>
      <c r="AZ7" s="2">
        <f t="shared" si="14"/>
        <v>0.01835</v>
      </c>
      <c r="BA7" s="2">
        <f t="shared" si="15"/>
        <v>7.146551724</v>
      </c>
      <c r="BF7" s="2">
        <v>0.457</v>
      </c>
      <c r="BG7" s="2">
        <v>1.032</v>
      </c>
      <c r="BH7" s="2">
        <f t="shared" si="16"/>
        <v>0.02285</v>
      </c>
      <c r="BI7" s="2">
        <f t="shared" si="17"/>
        <v>15.17647059</v>
      </c>
      <c r="BN7" s="2">
        <v>0.426</v>
      </c>
      <c r="BO7" s="2">
        <v>1.888</v>
      </c>
      <c r="BP7" s="2">
        <f t="shared" si="18"/>
        <v>0.0213</v>
      </c>
      <c r="BQ7" s="2">
        <f t="shared" si="19"/>
        <v>377.6</v>
      </c>
      <c r="BV7" s="2">
        <v>0.42</v>
      </c>
      <c r="BW7" s="2">
        <v>0.849</v>
      </c>
      <c r="BX7" s="2">
        <f t="shared" si="20"/>
        <v>0.021</v>
      </c>
      <c r="BY7" s="2">
        <f t="shared" si="21"/>
        <v>42.45</v>
      </c>
      <c r="CD7" s="2">
        <v>0.45</v>
      </c>
      <c r="CE7" s="2">
        <v>1.435</v>
      </c>
      <c r="CF7" s="2">
        <f t="shared" si="22"/>
        <v>0.0225</v>
      </c>
      <c r="CG7" s="2">
        <f t="shared" si="23"/>
        <v>33.37209302</v>
      </c>
      <c r="CL7" s="2">
        <v>0.41</v>
      </c>
      <c r="CM7" s="2">
        <f t="shared" si="24"/>
        <v>0.363</v>
      </c>
      <c r="CN7" s="2">
        <v>0.668</v>
      </c>
      <c r="CO7" s="2">
        <f t="shared" si="25"/>
        <v>0.01815</v>
      </c>
      <c r="CP7" s="2">
        <f t="shared" si="26"/>
        <v>47.71428571</v>
      </c>
      <c r="CU7" s="2">
        <v>0.385</v>
      </c>
      <c r="CV7" s="2">
        <f t="shared" si="27"/>
        <v>0.308</v>
      </c>
      <c r="CW7" s="2">
        <v>0.483</v>
      </c>
      <c r="CX7" s="2">
        <f t="shared" si="28"/>
        <v>0.0154</v>
      </c>
      <c r="CY7" s="2">
        <f t="shared" si="29"/>
        <v>12.38461538</v>
      </c>
      <c r="DD7" s="2">
        <v>0.42</v>
      </c>
      <c r="DE7" s="2">
        <v>0.753</v>
      </c>
      <c r="DF7" s="2">
        <f t="shared" si="30"/>
        <v>0.021</v>
      </c>
      <c r="DG7" s="2">
        <f t="shared" si="31"/>
        <v>6.223140496</v>
      </c>
      <c r="DL7" s="2">
        <v>0.414</v>
      </c>
      <c r="DM7" s="2">
        <v>1.69</v>
      </c>
      <c r="DN7" s="2">
        <f t="shared" si="32"/>
        <v>0.0207</v>
      </c>
      <c r="DO7" s="2">
        <f t="shared" si="33"/>
        <v>54.51612903</v>
      </c>
      <c r="DT7" s="2">
        <v>0.437</v>
      </c>
      <c r="DU7" s="2">
        <v>0.633</v>
      </c>
      <c r="DV7" s="2">
        <f t="shared" si="34"/>
        <v>0.02185</v>
      </c>
      <c r="DW7" s="2">
        <f t="shared" si="35"/>
        <v>3.931677019</v>
      </c>
      <c r="EB7" s="2">
        <v>0.427</v>
      </c>
      <c r="EC7" s="2">
        <v>0.557</v>
      </c>
      <c r="ED7" s="2">
        <f t="shared" si="36"/>
        <v>0.02135</v>
      </c>
      <c r="EE7" s="2">
        <f t="shared" si="37"/>
        <v>10.31481481</v>
      </c>
      <c r="EJ7" s="2">
        <v>0.418</v>
      </c>
      <c r="EK7" s="2">
        <v>0.925</v>
      </c>
      <c r="EL7" s="2">
        <f t="shared" si="38"/>
        <v>0.0209</v>
      </c>
      <c r="EM7" s="2">
        <f t="shared" si="39"/>
        <v>71.15384615</v>
      </c>
      <c r="ER7" s="2">
        <v>0.48</v>
      </c>
      <c r="ES7" s="2">
        <v>0.824</v>
      </c>
      <c r="ET7" s="2">
        <f t="shared" si="40"/>
        <v>0.024</v>
      </c>
      <c r="EU7" s="2">
        <f t="shared" si="41"/>
        <v>2.197333333</v>
      </c>
      <c r="EZ7" s="2">
        <v>0.442</v>
      </c>
      <c r="FA7" s="2">
        <f t="shared" si="42"/>
        <v>0.346</v>
      </c>
      <c r="FB7" s="2">
        <v>0.251</v>
      </c>
      <c r="FC7" s="2">
        <f t="shared" si="43"/>
        <v>0.0173</v>
      </c>
      <c r="FD7" s="2">
        <f t="shared" si="44"/>
        <v>1.235714286</v>
      </c>
      <c r="FI7" s="2">
        <v>0.469</v>
      </c>
      <c r="FJ7" s="2">
        <v>0.993</v>
      </c>
      <c r="FK7" s="2">
        <f t="shared" si="45"/>
        <v>0.02345</v>
      </c>
      <c r="FL7" s="2">
        <f t="shared" si="46"/>
        <v>14.18571429</v>
      </c>
      <c r="FQ7" s="2">
        <v>0.407</v>
      </c>
      <c r="FR7" s="2">
        <v>0.795</v>
      </c>
      <c r="FS7" s="2">
        <f t="shared" si="47"/>
        <v>0.02035</v>
      </c>
      <c r="FT7" s="2">
        <f t="shared" si="48"/>
        <v>113.5714286</v>
      </c>
    </row>
    <row r="8">
      <c r="A8" s="2">
        <v>0.651</v>
      </c>
      <c r="B8" s="2">
        <v>0.903</v>
      </c>
      <c r="C8" s="2">
        <f t="shared" si="1"/>
        <v>0.03255</v>
      </c>
      <c r="D8" s="2">
        <f t="shared" si="2"/>
        <v>8.766990291</v>
      </c>
      <c r="I8" s="2">
        <v>0.582</v>
      </c>
      <c r="J8" s="2">
        <v>1.452</v>
      </c>
      <c r="K8" s="2">
        <f t="shared" si="3"/>
        <v>0.0291</v>
      </c>
      <c r="L8" s="2">
        <f t="shared" si="4"/>
        <v>11.34375</v>
      </c>
      <c r="Q8" s="2">
        <v>0.475</v>
      </c>
      <c r="R8" s="2">
        <v>2.136</v>
      </c>
      <c r="S8" s="2">
        <f t="shared" si="5"/>
        <v>0.02375</v>
      </c>
      <c r="T8" s="2">
        <f t="shared" si="6"/>
        <v>33.9047619</v>
      </c>
      <c r="Y8" s="2">
        <v>0.485</v>
      </c>
      <c r="Z8" s="2">
        <v>1.782</v>
      </c>
      <c r="AA8" s="2">
        <f t="shared" si="7"/>
        <v>0.02425</v>
      </c>
      <c r="AB8" s="2">
        <f t="shared" si="8"/>
        <v>254.5714286</v>
      </c>
      <c r="AG8" s="2">
        <v>0.507</v>
      </c>
      <c r="AH8" s="2">
        <v>2.266</v>
      </c>
      <c r="AI8" s="2">
        <f t="shared" si="9"/>
        <v>0.02535</v>
      </c>
      <c r="AJ8" s="2">
        <f t="shared" si="10"/>
        <v>42.75471698</v>
      </c>
      <c r="AO8" s="2">
        <v>0.44</v>
      </c>
      <c r="AP8" s="2">
        <v>1.672</v>
      </c>
      <c r="AQ8" s="2">
        <f t="shared" si="11"/>
        <v>0.022</v>
      </c>
      <c r="AR8" s="2">
        <f t="shared" si="12"/>
        <v>26.96774194</v>
      </c>
      <c r="AW8" s="2">
        <v>0.448</v>
      </c>
      <c r="AX8" s="2">
        <f t="shared" si="13"/>
        <v>0.434</v>
      </c>
      <c r="AY8" s="2">
        <v>1.018</v>
      </c>
      <c r="AZ8" s="2">
        <f t="shared" si="14"/>
        <v>0.0217</v>
      </c>
      <c r="BA8" s="2">
        <f t="shared" si="15"/>
        <v>8.775862069</v>
      </c>
      <c r="BF8" s="2">
        <v>0.527</v>
      </c>
      <c r="BG8" s="2">
        <v>0.91</v>
      </c>
      <c r="BH8" s="2">
        <f t="shared" si="16"/>
        <v>0.02635</v>
      </c>
      <c r="BI8" s="2">
        <f t="shared" si="17"/>
        <v>13.38235294</v>
      </c>
      <c r="BN8" s="2">
        <v>0.495</v>
      </c>
      <c r="BO8" s="2">
        <v>2.229</v>
      </c>
      <c r="BP8" s="2">
        <f t="shared" si="18"/>
        <v>0.02475</v>
      </c>
      <c r="BQ8" s="2">
        <f t="shared" si="19"/>
        <v>445.8</v>
      </c>
      <c r="BV8" s="2">
        <v>0.499</v>
      </c>
      <c r="BW8" s="2">
        <v>0.984</v>
      </c>
      <c r="BX8" s="2">
        <f t="shared" si="20"/>
        <v>0.02495</v>
      </c>
      <c r="BY8" s="2">
        <f t="shared" si="21"/>
        <v>49.2</v>
      </c>
      <c r="CD8" s="2">
        <v>0.51</v>
      </c>
      <c r="CE8" s="2">
        <v>1.624</v>
      </c>
      <c r="CF8" s="2">
        <f t="shared" si="22"/>
        <v>0.0255</v>
      </c>
      <c r="CG8" s="2">
        <f t="shared" si="23"/>
        <v>37.76744186</v>
      </c>
      <c r="CL8" s="2">
        <v>0.472</v>
      </c>
      <c r="CM8" s="2">
        <f t="shared" si="24"/>
        <v>0.436</v>
      </c>
      <c r="CN8" s="2">
        <v>0.851</v>
      </c>
      <c r="CO8" s="2">
        <f t="shared" si="25"/>
        <v>0.0218</v>
      </c>
      <c r="CP8" s="2">
        <f t="shared" si="26"/>
        <v>60.78571429</v>
      </c>
      <c r="CU8" s="2">
        <v>0.45</v>
      </c>
      <c r="CV8" s="2">
        <f t="shared" si="27"/>
        <v>0.392</v>
      </c>
      <c r="CW8" s="2">
        <v>0.574</v>
      </c>
      <c r="CX8" s="2">
        <f t="shared" si="28"/>
        <v>0.0196</v>
      </c>
      <c r="CY8" s="2">
        <f t="shared" si="29"/>
        <v>14.71794872</v>
      </c>
      <c r="DD8" s="2">
        <v>0.495</v>
      </c>
      <c r="DE8" s="2">
        <v>0.866</v>
      </c>
      <c r="DF8" s="2">
        <f t="shared" si="30"/>
        <v>0.02475</v>
      </c>
      <c r="DG8" s="2">
        <f t="shared" si="31"/>
        <v>7.157024793</v>
      </c>
      <c r="DL8" s="2">
        <v>0.5</v>
      </c>
      <c r="DM8" s="2">
        <v>1.513</v>
      </c>
      <c r="DN8" s="2">
        <f t="shared" si="32"/>
        <v>0.025</v>
      </c>
      <c r="DO8" s="2">
        <f t="shared" si="33"/>
        <v>48.80645161</v>
      </c>
      <c r="DT8" s="2">
        <v>0.504</v>
      </c>
      <c r="DU8" s="2">
        <v>0.778</v>
      </c>
      <c r="DV8" s="2">
        <f t="shared" si="34"/>
        <v>0.0252</v>
      </c>
      <c r="DW8" s="2">
        <f t="shared" si="35"/>
        <v>4.832298137</v>
      </c>
      <c r="EB8" s="2">
        <v>0.495</v>
      </c>
      <c r="EC8" s="2">
        <v>0.682</v>
      </c>
      <c r="ED8" s="2">
        <f t="shared" si="36"/>
        <v>0.02475</v>
      </c>
      <c r="EE8" s="2">
        <f t="shared" si="37"/>
        <v>12.62962963</v>
      </c>
      <c r="EJ8" s="2">
        <v>0.502</v>
      </c>
      <c r="EK8" s="2">
        <v>1.133</v>
      </c>
      <c r="EL8" s="2">
        <f t="shared" si="38"/>
        <v>0.0251</v>
      </c>
      <c r="EM8" s="2">
        <f t="shared" si="39"/>
        <v>87.15384615</v>
      </c>
      <c r="ER8" s="2">
        <v>0.545</v>
      </c>
      <c r="ES8" s="2">
        <v>0.962</v>
      </c>
      <c r="ET8" s="2">
        <f t="shared" si="40"/>
        <v>0.02725</v>
      </c>
      <c r="EU8" s="2">
        <f t="shared" si="41"/>
        <v>2.565333333</v>
      </c>
      <c r="EZ8" s="2">
        <v>0.5</v>
      </c>
      <c r="FA8" s="2">
        <f t="shared" si="42"/>
        <v>0.428</v>
      </c>
      <c r="FB8" s="2">
        <v>0.299</v>
      </c>
      <c r="FC8" s="2">
        <f t="shared" si="43"/>
        <v>0.0214</v>
      </c>
      <c r="FD8" s="2">
        <f t="shared" si="44"/>
        <v>1.528571429</v>
      </c>
      <c r="FI8" s="2">
        <v>0.545</v>
      </c>
      <c r="FJ8" s="2">
        <v>1.27</v>
      </c>
      <c r="FK8" s="2">
        <f t="shared" si="45"/>
        <v>0.02725</v>
      </c>
      <c r="FL8" s="2">
        <f t="shared" si="46"/>
        <v>18.14285714</v>
      </c>
      <c r="FQ8" s="2">
        <v>0.474</v>
      </c>
      <c r="FR8" s="2">
        <v>0.994</v>
      </c>
      <c r="FS8" s="2">
        <f t="shared" si="47"/>
        <v>0.0237</v>
      </c>
      <c r="FT8" s="2">
        <f t="shared" si="48"/>
        <v>142</v>
      </c>
    </row>
    <row r="9">
      <c r="A9" s="2">
        <v>0.727</v>
      </c>
      <c r="B9" s="2">
        <v>1.054</v>
      </c>
      <c r="C9" s="2">
        <f t="shared" si="1"/>
        <v>0.03635</v>
      </c>
      <c r="D9" s="2">
        <f t="shared" si="2"/>
        <v>10.23300971</v>
      </c>
      <c r="I9" s="2">
        <v>0.652</v>
      </c>
      <c r="J9" s="2">
        <v>1.702</v>
      </c>
      <c r="K9" s="2">
        <f t="shared" si="3"/>
        <v>0.0326</v>
      </c>
      <c r="L9" s="2">
        <f t="shared" si="4"/>
        <v>13.296875</v>
      </c>
      <c r="Q9" s="2">
        <v>0.545</v>
      </c>
      <c r="R9" s="2">
        <v>2.631</v>
      </c>
      <c r="S9" s="2">
        <f t="shared" si="5"/>
        <v>0.02725</v>
      </c>
      <c r="T9" s="2">
        <f t="shared" si="6"/>
        <v>41.76190476</v>
      </c>
      <c r="Y9" s="2">
        <v>0.547</v>
      </c>
      <c r="Z9" s="2">
        <v>2.212</v>
      </c>
      <c r="AA9" s="2">
        <f t="shared" si="7"/>
        <v>0.02735</v>
      </c>
      <c r="AB9" s="2">
        <f t="shared" si="8"/>
        <v>316</v>
      </c>
      <c r="AG9" s="2">
        <v>0.589</v>
      </c>
      <c r="AH9" s="2">
        <v>2.861</v>
      </c>
      <c r="AI9" s="2">
        <f t="shared" si="9"/>
        <v>0.02945</v>
      </c>
      <c r="AJ9" s="2">
        <f t="shared" si="10"/>
        <v>53.98113208</v>
      </c>
      <c r="AO9" s="2">
        <v>0.562</v>
      </c>
      <c r="AP9" s="2">
        <v>1.959</v>
      </c>
      <c r="AQ9" s="2">
        <f t="shared" si="11"/>
        <v>0.0281</v>
      </c>
      <c r="AR9" s="2">
        <f t="shared" si="12"/>
        <v>31.59677419</v>
      </c>
      <c r="AW9" s="2">
        <v>0.515</v>
      </c>
      <c r="AX9" s="2">
        <f t="shared" si="13"/>
        <v>0.509</v>
      </c>
      <c r="AY9" s="2">
        <v>1.214</v>
      </c>
      <c r="AZ9" s="2">
        <f t="shared" si="14"/>
        <v>0.02545</v>
      </c>
      <c r="BA9" s="2">
        <f t="shared" si="15"/>
        <v>10.46551724</v>
      </c>
      <c r="BF9" s="2">
        <v>0.595</v>
      </c>
      <c r="BG9" s="2">
        <v>0.731</v>
      </c>
      <c r="BH9" s="2">
        <f t="shared" si="16"/>
        <v>0.02975</v>
      </c>
      <c r="BI9" s="2">
        <f t="shared" si="17"/>
        <v>10.75</v>
      </c>
      <c r="BN9" s="2">
        <v>0.564</v>
      </c>
      <c r="BO9" s="2">
        <v>2.523</v>
      </c>
      <c r="BP9" s="2">
        <f t="shared" si="18"/>
        <v>0.0282</v>
      </c>
      <c r="BQ9" s="2">
        <f t="shared" si="19"/>
        <v>504.6</v>
      </c>
      <c r="BV9" s="2">
        <v>0.555</v>
      </c>
      <c r="BW9" s="2">
        <v>1.094</v>
      </c>
      <c r="BX9" s="2">
        <f t="shared" si="20"/>
        <v>0.02775</v>
      </c>
      <c r="BY9" s="2">
        <f t="shared" si="21"/>
        <v>54.7</v>
      </c>
      <c r="CD9" s="2">
        <v>0.573</v>
      </c>
      <c r="CE9" s="2">
        <v>1.782</v>
      </c>
      <c r="CF9" s="2">
        <f t="shared" si="22"/>
        <v>0.02865</v>
      </c>
      <c r="CG9" s="2">
        <f t="shared" si="23"/>
        <v>41.44186047</v>
      </c>
      <c r="CL9" s="2">
        <v>0.545</v>
      </c>
      <c r="CM9" s="2">
        <f t="shared" si="24"/>
        <v>0.51</v>
      </c>
      <c r="CN9" s="2">
        <v>1.047</v>
      </c>
      <c r="CO9" s="2">
        <f t="shared" si="25"/>
        <v>0.0255</v>
      </c>
      <c r="CP9" s="2">
        <f t="shared" si="26"/>
        <v>74.78571429</v>
      </c>
      <c r="CU9" s="2">
        <v>0.534</v>
      </c>
      <c r="CV9" s="2">
        <f t="shared" si="27"/>
        <v>0.45</v>
      </c>
      <c r="CW9" s="2">
        <v>0.616</v>
      </c>
      <c r="CX9" s="2">
        <f t="shared" si="28"/>
        <v>0.0225</v>
      </c>
      <c r="CY9" s="2">
        <f t="shared" si="29"/>
        <v>15.79487179</v>
      </c>
      <c r="DD9" s="2">
        <v>0.552</v>
      </c>
      <c r="DE9" s="2">
        <v>0.971</v>
      </c>
      <c r="DF9" s="2">
        <f t="shared" si="30"/>
        <v>0.0276</v>
      </c>
      <c r="DG9" s="2">
        <f t="shared" si="31"/>
        <v>8.024793388</v>
      </c>
      <c r="DL9" s="2">
        <v>0.57</v>
      </c>
      <c r="DM9" s="2">
        <v>1.222</v>
      </c>
      <c r="DN9" s="2">
        <f t="shared" si="32"/>
        <v>0.0285</v>
      </c>
      <c r="DO9" s="2">
        <f t="shared" si="33"/>
        <v>39.41935484</v>
      </c>
      <c r="DT9" s="2">
        <v>0.578</v>
      </c>
      <c r="DU9" s="2">
        <v>0.898</v>
      </c>
      <c r="DV9" s="2">
        <f t="shared" si="34"/>
        <v>0.0289</v>
      </c>
      <c r="DW9" s="2">
        <f t="shared" si="35"/>
        <v>5.577639752</v>
      </c>
      <c r="EB9" s="2">
        <v>0.561</v>
      </c>
      <c r="EC9" s="2">
        <v>0.785</v>
      </c>
      <c r="ED9" s="2">
        <f t="shared" si="36"/>
        <v>0.02805</v>
      </c>
      <c r="EE9" s="2">
        <f t="shared" si="37"/>
        <v>14.53703704</v>
      </c>
      <c r="EJ9" s="2">
        <v>0.57</v>
      </c>
      <c r="EK9" s="2">
        <v>1.322</v>
      </c>
      <c r="EL9" s="2">
        <f t="shared" si="38"/>
        <v>0.0285</v>
      </c>
      <c r="EM9" s="2">
        <f t="shared" si="39"/>
        <v>101.6923077</v>
      </c>
      <c r="ER9" s="2">
        <v>0.617</v>
      </c>
      <c r="ES9" s="2">
        <v>1.087</v>
      </c>
      <c r="ET9" s="2">
        <f t="shared" si="40"/>
        <v>0.03085</v>
      </c>
      <c r="EU9" s="2">
        <f t="shared" si="41"/>
        <v>2.898666667</v>
      </c>
      <c r="EZ9" s="2">
        <v>0.582</v>
      </c>
      <c r="FA9" s="2">
        <f t="shared" si="42"/>
        <v>0.506</v>
      </c>
      <c r="FB9" s="2">
        <v>0.363</v>
      </c>
      <c r="FC9" s="2">
        <f t="shared" si="43"/>
        <v>0.0253</v>
      </c>
      <c r="FD9" s="2">
        <f t="shared" si="44"/>
        <v>1.807142857</v>
      </c>
      <c r="FI9" s="2">
        <v>0.611</v>
      </c>
      <c r="FJ9" s="2">
        <v>1.486</v>
      </c>
      <c r="FK9" s="2">
        <f t="shared" si="45"/>
        <v>0.03055</v>
      </c>
      <c r="FL9" s="2">
        <f t="shared" si="46"/>
        <v>21.22857143</v>
      </c>
      <c r="FQ9" s="2">
        <v>0.537</v>
      </c>
      <c r="FR9" s="2">
        <v>1.111</v>
      </c>
      <c r="FS9" s="2">
        <f t="shared" si="47"/>
        <v>0.02685</v>
      </c>
      <c r="FT9" s="2">
        <f t="shared" si="48"/>
        <v>158.7142857</v>
      </c>
    </row>
    <row r="10">
      <c r="A10" s="2">
        <v>0.794</v>
      </c>
      <c r="B10" s="2">
        <v>1.207</v>
      </c>
      <c r="C10" s="2">
        <f t="shared" si="1"/>
        <v>0.0397</v>
      </c>
      <c r="D10" s="2">
        <f t="shared" si="2"/>
        <v>11.7184466</v>
      </c>
      <c r="I10" s="2">
        <v>0.715</v>
      </c>
      <c r="J10" s="2">
        <v>1.952</v>
      </c>
      <c r="K10" s="2">
        <f t="shared" si="3"/>
        <v>0.03575</v>
      </c>
      <c r="L10" s="2">
        <f t="shared" si="4"/>
        <v>15.25</v>
      </c>
      <c r="Q10" s="2">
        <v>0.622</v>
      </c>
      <c r="R10" s="2">
        <v>3.227</v>
      </c>
      <c r="S10" s="2">
        <f t="shared" si="5"/>
        <v>0.0311</v>
      </c>
      <c r="T10" s="2">
        <f t="shared" si="6"/>
        <v>51.22222222</v>
      </c>
      <c r="Y10" s="2">
        <v>0.627</v>
      </c>
      <c r="Z10" s="2">
        <v>2.702</v>
      </c>
      <c r="AA10" s="2">
        <f t="shared" si="7"/>
        <v>0.03135</v>
      </c>
      <c r="AB10" s="2">
        <f t="shared" si="8"/>
        <v>386</v>
      </c>
      <c r="AG10" s="2">
        <v>0.665</v>
      </c>
      <c r="AH10" s="2">
        <v>3.492</v>
      </c>
      <c r="AI10" s="2">
        <f t="shared" si="9"/>
        <v>0.03325</v>
      </c>
      <c r="AJ10" s="2">
        <f t="shared" si="10"/>
        <v>65.88679245</v>
      </c>
      <c r="AO10" s="2">
        <v>0.645</v>
      </c>
      <c r="AP10" s="2">
        <v>2.278</v>
      </c>
      <c r="AQ10" s="2">
        <f t="shared" si="11"/>
        <v>0.03225</v>
      </c>
      <c r="AR10" s="2">
        <f t="shared" si="12"/>
        <v>36.74193548</v>
      </c>
      <c r="AW10" s="2">
        <v>0.59</v>
      </c>
      <c r="AX10" s="2">
        <f t="shared" si="13"/>
        <v>0.578</v>
      </c>
      <c r="AY10" s="2">
        <v>1.411</v>
      </c>
      <c r="AZ10" s="2">
        <f t="shared" si="14"/>
        <v>0.0289</v>
      </c>
      <c r="BA10" s="2">
        <f t="shared" si="15"/>
        <v>12.1637931</v>
      </c>
      <c r="BF10" s="2">
        <v>0.66</v>
      </c>
      <c r="BG10" s="2">
        <v>0.496</v>
      </c>
      <c r="BH10" s="2">
        <f t="shared" si="16"/>
        <v>0.033</v>
      </c>
      <c r="BI10" s="2">
        <f t="shared" si="17"/>
        <v>7.294117647</v>
      </c>
      <c r="BN10" s="2">
        <v>0.631</v>
      </c>
      <c r="BO10" s="2">
        <v>2.793</v>
      </c>
      <c r="BP10" s="2">
        <f t="shared" si="18"/>
        <v>0.03155</v>
      </c>
      <c r="BQ10" s="2">
        <f t="shared" si="19"/>
        <v>558.6</v>
      </c>
      <c r="BV10" s="2">
        <v>0.617</v>
      </c>
      <c r="BW10" s="2">
        <v>1.214</v>
      </c>
      <c r="BX10" s="2">
        <f t="shared" si="20"/>
        <v>0.03085</v>
      </c>
      <c r="BY10" s="2">
        <f t="shared" si="21"/>
        <v>60.7</v>
      </c>
      <c r="CD10" s="2">
        <v>0.657</v>
      </c>
      <c r="CE10" s="2">
        <v>1.959</v>
      </c>
      <c r="CF10" s="2">
        <f t="shared" si="22"/>
        <v>0.03285</v>
      </c>
      <c r="CG10" s="2">
        <f t="shared" si="23"/>
        <v>45.55813953</v>
      </c>
      <c r="CL10" s="2">
        <v>0.619</v>
      </c>
      <c r="CM10" s="2">
        <f t="shared" si="24"/>
        <v>0.571</v>
      </c>
      <c r="CN10" s="2">
        <v>1.253</v>
      </c>
      <c r="CO10" s="2">
        <f t="shared" si="25"/>
        <v>0.02855</v>
      </c>
      <c r="CP10" s="2">
        <f t="shared" si="26"/>
        <v>89.5</v>
      </c>
      <c r="CU10" s="2">
        <v>0.592</v>
      </c>
      <c r="CV10" s="2">
        <f t="shared" si="27"/>
        <v>0.513</v>
      </c>
      <c r="CW10" s="2">
        <v>0.515</v>
      </c>
      <c r="CX10" s="2">
        <f t="shared" si="28"/>
        <v>0.02565</v>
      </c>
      <c r="CY10" s="2">
        <f t="shared" si="29"/>
        <v>13.20512821</v>
      </c>
      <c r="DD10" s="2">
        <v>0.615</v>
      </c>
      <c r="DE10" s="2">
        <v>1.067</v>
      </c>
      <c r="DF10" s="2">
        <f t="shared" si="30"/>
        <v>0.03075</v>
      </c>
      <c r="DG10" s="2">
        <f t="shared" si="31"/>
        <v>8.818181818</v>
      </c>
      <c r="DL10" s="2">
        <v>0.637</v>
      </c>
      <c r="DM10" s="2">
        <v>0.802</v>
      </c>
      <c r="DN10" s="2">
        <f t="shared" si="32"/>
        <v>0.03185</v>
      </c>
      <c r="DO10" s="2">
        <f t="shared" si="33"/>
        <v>25.87096774</v>
      </c>
      <c r="DT10" s="2">
        <v>0.652</v>
      </c>
      <c r="DU10" s="2">
        <v>1.001</v>
      </c>
      <c r="DV10" s="2">
        <f t="shared" si="34"/>
        <v>0.0326</v>
      </c>
      <c r="DW10" s="2">
        <f t="shared" si="35"/>
        <v>6.217391304</v>
      </c>
      <c r="EB10" s="2">
        <v>0.627</v>
      </c>
      <c r="EC10" s="2">
        <v>0.819</v>
      </c>
      <c r="ED10" s="2">
        <f t="shared" si="36"/>
        <v>0.03135</v>
      </c>
      <c r="EE10" s="2">
        <f t="shared" si="37"/>
        <v>15.16666667</v>
      </c>
      <c r="EJ10" s="2">
        <v>0.57</v>
      </c>
      <c r="EK10" s="2">
        <v>1.454</v>
      </c>
      <c r="EL10" s="2">
        <f t="shared" si="38"/>
        <v>0.0285</v>
      </c>
      <c r="EM10" s="2">
        <f t="shared" si="39"/>
        <v>111.8461538</v>
      </c>
      <c r="ER10" s="2">
        <v>0.689</v>
      </c>
      <c r="ES10" s="2">
        <v>1.214</v>
      </c>
      <c r="ET10" s="2">
        <f t="shared" si="40"/>
        <v>0.03445</v>
      </c>
      <c r="EU10" s="2">
        <f t="shared" si="41"/>
        <v>3.237333333</v>
      </c>
      <c r="EZ10" s="2">
        <v>0.66</v>
      </c>
      <c r="FA10" s="2">
        <f t="shared" si="42"/>
        <v>0.583</v>
      </c>
      <c r="FB10" s="2">
        <v>0.299</v>
      </c>
      <c r="FC10" s="2">
        <f t="shared" si="43"/>
        <v>0.02915</v>
      </c>
      <c r="FD10" s="2">
        <f t="shared" si="44"/>
        <v>2.082142857</v>
      </c>
      <c r="FI10" s="2">
        <v>0.667</v>
      </c>
      <c r="FJ10" s="2">
        <v>1.29</v>
      </c>
      <c r="FK10" s="2">
        <f t="shared" si="45"/>
        <v>0.03335</v>
      </c>
      <c r="FL10" s="2">
        <f t="shared" si="46"/>
        <v>18.42857143</v>
      </c>
      <c r="FQ10" s="2">
        <v>0.597</v>
      </c>
      <c r="FR10" s="2">
        <v>1.183</v>
      </c>
      <c r="FS10" s="2">
        <f t="shared" si="47"/>
        <v>0.02985</v>
      </c>
      <c r="FT10" s="2">
        <f t="shared" si="48"/>
        <v>169</v>
      </c>
    </row>
    <row r="11">
      <c r="A11" s="2">
        <v>0.864</v>
      </c>
      <c r="B11" s="2">
        <v>1.364</v>
      </c>
      <c r="C11" s="2">
        <f t="shared" si="1"/>
        <v>0.0432</v>
      </c>
      <c r="D11" s="2">
        <f t="shared" si="2"/>
        <v>13.24271845</v>
      </c>
      <c r="I11" s="2">
        <v>0.777</v>
      </c>
      <c r="J11" s="2">
        <v>2.188</v>
      </c>
      <c r="K11" s="2">
        <f t="shared" si="3"/>
        <v>0.03885</v>
      </c>
      <c r="L11" s="2">
        <f t="shared" si="4"/>
        <v>17.09375</v>
      </c>
      <c r="Q11" s="2">
        <v>0.698</v>
      </c>
      <c r="R11" s="2">
        <v>3.261</v>
      </c>
      <c r="S11" s="2">
        <f t="shared" si="5"/>
        <v>0.0349</v>
      </c>
      <c r="T11" s="2">
        <f t="shared" si="6"/>
        <v>51.76190476</v>
      </c>
      <c r="Y11" s="2">
        <v>0.693</v>
      </c>
      <c r="Z11" s="2">
        <v>2.413</v>
      </c>
      <c r="AA11" s="2">
        <f t="shared" si="7"/>
        <v>0.03465</v>
      </c>
      <c r="AB11" s="2">
        <f t="shared" si="8"/>
        <v>344.7142857</v>
      </c>
      <c r="AG11" s="2">
        <v>0.721</v>
      </c>
      <c r="AH11" s="2">
        <v>3.673</v>
      </c>
      <c r="AI11" s="2">
        <f t="shared" si="9"/>
        <v>0.03605</v>
      </c>
      <c r="AJ11" s="2">
        <f t="shared" si="10"/>
        <v>69.30188679</v>
      </c>
      <c r="AO11" s="2">
        <v>0.719</v>
      </c>
      <c r="AP11" s="2">
        <v>2.585</v>
      </c>
      <c r="AQ11" s="2">
        <f t="shared" si="11"/>
        <v>0.03595</v>
      </c>
      <c r="AR11" s="2">
        <f t="shared" si="12"/>
        <v>41.69354839</v>
      </c>
      <c r="AW11" s="2">
        <v>0.659</v>
      </c>
      <c r="AX11" s="2">
        <f t="shared" si="13"/>
        <v>0.578</v>
      </c>
      <c r="AY11" s="2">
        <v>1.567</v>
      </c>
      <c r="AZ11" s="2">
        <f t="shared" si="14"/>
        <v>0.0289</v>
      </c>
      <c r="BA11" s="2">
        <f t="shared" si="15"/>
        <v>13.50862069</v>
      </c>
      <c r="BN11" s="2">
        <v>0.698</v>
      </c>
      <c r="BO11" s="2">
        <v>3.053</v>
      </c>
      <c r="BP11" s="2">
        <f t="shared" si="18"/>
        <v>0.0349</v>
      </c>
      <c r="BQ11" s="2">
        <f t="shared" si="19"/>
        <v>610.6</v>
      </c>
      <c r="BV11" s="2">
        <v>0.717</v>
      </c>
      <c r="BW11" s="2">
        <v>1.342</v>
      </c>
      <c r="BX11" s="2">
        <f t="shared" si="20"/>
        <v>0.03585</v>
      </c>
      <c r="BY11" s="2">
        <f t="shared" si="21"/>
        <v>67.1</v>
      </c>
      <c r="CD11" s="2">
        <v>0.732</v>
      </c>
      <c r="CE11" s="2">
        <v>2.153</v>
      </c>
      <c r="CF11" s="2">
        <f t="shared" si="22"/>
        <v>0.0366</v>
      </c>
      <c r="CG11" s="2">
        <f t="shared" si="23"/>
        <v>50.06976744</v>
      </c>
      <c r="CL11" s="2">
        <v>0.68</v>
      </c>
      <c r="CM11" s="2">
        <f t="shared" si="24"/>
        <v>0.64</v>
      </c>
      <c r="CN11" s="2">
        <v>1.089</v>
      </c>
      <c r="CO11" s="2">
        <f t="shared" si="25"/>
        <v>0.032</v>
      </c>
      <c r="CP11" s="2">
        <f t="shared" si="26"/>
        <v>77.78571429</v>
      </c>
      <c r="CU11" s="2">
        <v>0.655</v>
      </c>
      <c r="CV11" s="2">
        <f t="shared" si="27"/>
        <v>0.588</v>
      </c>
      <c r="CW11" s="2">
        <v>0.405</v>
      </c>
      <c r="CX11" s="2">
        <f t="shared" si="28"/>
        <v>0.0294</v>
      </c>
      <c r="CY11" s="2">
        <f t="shared" si="29"/>
        <v>10.38461538</v>
      </c>
      <c r="DD11" s="2">
        <v>0.68</v>
      </c>
      <c r="DE11" s="2">
        <v>1.16</v>
      </c>
      <c r="DF11" s="2">
        <f t="shared" si="30"/>
        <v>0.034</v>
      </c>
      <c r="DG11" s="2">
        <f t="shared" si="31"/>
        <v>9.58677686</v>
      </c>
      <c r="DT11" s="2">
        <v>0.717</v>
      </c>
      <c r="DU11" s="2">
        <v>0.927</v>
      </c>
      <c r="DV11" s="2">
        <f t="shared" si="34"/>
        <v>0.03585</v>
      </c>
      <c r="DW11" s="2">
        <f t="shared" si="35"/>
        <v>5.757763975</v>
      </c>
      <c r="EB11" s="2">
        <v>0.682</v>
      </c>
      <c r="EC11" s="2">
        <v>0.69</v>
      </c>
      <c r="ED11" s="2">
        <f t="shared" si="36"/>
        <v>0.0341</v>
      </c>
      <c r="EE11" s="2">
        <f t="shared" si="37"/>
        <v>12.77777778</v>
      </c>
      <c r="EJ11" s="2">
        <v>0.695</v>
      </c>
      <c r="EK11" s="2">
        <v>1.614</v>
      </c>
      <c r="EL11" s="2">
        <f t="shared" si="38"/>
        <v>0.03475</v>
      </c>
      <c r="EM11" s="2">
        <f t="shared" si="39"/>
        <v>124.1538462</v>
      </c>
      <c r="ER11" s="2">
        <v>0.75</v>
      </c>
      <c r="ES11" s="2">
        <v>1.231</v>
      </c>
      <c r="ET11" s="2">
        <f t="shared" si="40"/>
        <v>0.0375</v>
      </c>
      <c r="EU11" s="2">
        <f t="shared" si="41"/>
        <v>3.282666667</v>
      </c>
      <c r="EZ11" s="2">
        <v>0.737</v>
      </c>
      <c r="FA11" s="2">
        <f t="shared" si="42"/>
        <v>0.643</v>
      </c>
      <c r="FB11" s="2">
        <v>0.233</v>
      </c>
      <c r="FC11" s="2">
        <f t="shared" si="43"/>
        <v>0.03215</v>
      </c>
      <c r="FD11" s="2">
        <f t="shared" si="44"/>
        <v>2.296428571</v>
      </c>
      <c r="FI11" s="2">
        <v>0.73</v>
      </c>
      <c r="FJ11" s="2">
        <v>1.042</v>
      </c>
      <c r="FK11" s="2">
        <f t="shared" si="45"/>
        <v>0.0365</v>
      </c>
      <c r="FL11" s="2">
        <f t="shared" si="46"/>
        <v>14.88571429</v>
      </c>
      <c r="FQ11" s="2">
        <v>0.68</v>
      </c>
      <c r="FR11" s="2">
        <v>0.976</v>
      </c>
      <c r="FS11" s="2">
        <f t="shared" si="47"/>
        <v>0.034</v>
      </c>
      <c r="FT11" s="2">
        <f t="shared" si="48"/>
        <v>139.4285714</v>
      </c>
    </row>
    <row r="12">
      <c r="A12" s="2">
        <v>0.931</v>
      </c>
      <c r="B12" s="2">
        <v>1.525</v>
      </c>
      <c r="C12" s="2">
        <f t="shared" si="1"/>
        <v>0.04655</v>
      </c>
      <c r="D12" s="2">
        <f t="shared" si="2"/>
        <v>14.80582524</v>
      </c>
      <c r="I12" s="2">
        <v>0.837</v>
      </c>
      <c r="J12" s="2">
        <v>2.432</v>
      </c>
      <c r="K12" s="2">
        <f t="shared" si="3"/>
        <v>0.04185</v>
      </c>
      <c r="L12" s="2">
        <f t="shared" si="4"/>
        <v>19</v>
      </c>
      <c r="Q12" s="2">
        <v>0.767</v>
      </c>
      <c r="R12" s="2">
        <v>2.722</v>
      </c>
      <c r="S12" s="2">
        <f t="shared" si="5"/>
        <v>0.03835</v>
      </c>
      <c r="T12" s="2">
        <f t="shared" si="6"/>
        <v>43.20634921</v>
      </c>
      <c r="Y12" s="2">
        <v>0.752</v>
      </c>
      <c r="Z12" s="2">
        <v>1.96</v>
      </c>
      <c r="AA12" s="2">
        <f t="shared" si="7"/>
        <v>0.0376</v>
      </c>
      <c r="AB12" s="2">
        <f t="shared" si="8"/>
        <v>280</v>
      </c>
      <c r="AG12" s="2">
        <v>0.789</v>
      </c>
      <c r="AH12" s="2">
        <v>3.114</v>
      </c>
      <c r="AI12" s="2">
        <f t="shared" si="9"/>
        <v>0.03945</v>
      </c>
      <c r="AJ12" s="2">
        <f t="shared" si="10"/>
        <v>58.75471698</v>
      </c>
      <c r="AO12" s="2">
        <v>0.805</v>
      </c>
      <c r="AP12" s="2">
        <v>2.175</v>
      </c>
      <c r="AQ12" s="2">
        <f t="shared" si="11"/>
        <v>0.04025</v>
      </c>
      <c r="AR12" s="2">
        <f t="shared" si="12"/>
        <v>35.08064516</v>
      </c>
      <c r="AW12" s="2">
        <v>0.659</v>
      </c>
      <c r="AX12" s="2">
        <f t="shared" si="13"/>
        <v>0.704</v>
      </c>
      <c r="AY12" s="2">
        <v>1.771</v>
      </c>
      <c r="AZ12" s="2">
        <f t="shared" si="14"/>
        <v>0.0352</v>
      </c>
      <c r="BA12" s="2">
        <f t="shared" si="15"/>
        <v>15.26724138</v>
      </c>
      <c r="BN12" s="2">
        <v>0.777</v>
      </c>
      <c r="BO12" s="2">
        <v>3.303</v>
      </c>
      <c r="BP12" s="2">
        <f t="shared" si="18"/>
        <v>0.03885</v>
      </c>
      <c r="BQ12" s="2">
        <f t="shared" si="19"/>
        <v>660.6</v>
      </c>
      <c r="BV12" s="2">
        <v>0.791</v>
      </c>
      <c r="BW12" s="2">
        <v>1.121</v>
      </c>
      <c r="BX12" s="2">
        <f t="shared" si="20"/>
        <v>0.03955</v>
      </c>
      <c r="BY12" s="2">
        <f t="shared" si="21"/>
        <v>56.05</v>
      </c>
      <c r="CD12" s="2">
        <v>0.81</v>
      </c>
      <c r="CE12" s="2">
        <v>2.242</v>
      </c>
      <c r="CF12" s="2">
        <f t="shared" si="22"/>
        <v>0.0405</v>
      </c>
      <c r="CG12" s="2">
        <f t="shared" si="23"/>
        <v>52.13953488</v>
      </c>
      <c r="CL12" s="2">
        <v>0.749</v>
      </c>
      <c r="CM12" s="2">
        <f t="shared" si="24"/>
        <v>0.708</v>
      </c>
      <c r="CN12" s="2">
        <v>0.895</v>
      </c>
      <c r="CO12" s="2">
        <f t="shared" si="25"/>
        <v>0.0354</v>
      </c>
      <c r="CP12" s="2">
        <f t="shared" si="26"/>
        <v>63.92857143</v>
      </c>
      <c r="CU12" s="2">
        <v>0.73</v>
      </c>
      <c r="DD12" s="2">
        <v>0.774</v>
      </c>
      <c r="DE12" s="2">
        <v>0.972</v>
      </c>
      <c r="DF12" s="2">
        <f t="shared" si="30"/>
        <v>0.0387</v>
      </c>
      <c r="DG12" s="2">
        <f t="shared" si="31"/>
        <v>8.033057851</v>
      </c>
      <c r="DT12" s="2">
        <v>0.79</v>
      </c>
      <c r="DU12" s="2">
        <v>0.748</v>
      </c>
      <c r="DV12" s="2">
        <f t="shared" si="34"/>
        <v>0.0395</v>
      </c>
      <c r="DW12" s="2">
        <f t="shared" si="35"/>
        <v>4.645962733</v>
      </c>
      <c r="EB12" s="2">
        <v>0.752</v>
      </c>
      <c r="EC12" s="2">
        <v>0.53</v>
      </c>
      <c r="ED12" s="2">
        <f t="shared" si="36"/>
        <v>0.0376</v>
      </c>
      <c r="EE12" s="2">
        <f t="shared" si="37"/>
        <v>9.814814815</v>
      </c>
      <c r="EJ12" s="2">
        <v>0.762</v>
      </c>
      <c r="EK12" s="2">
        <v>1.768</v>
      </c>
      <c r="EL12" s="2">
        <f t="shared" si="38"/>
        <v>0.0381</v>
      </c>
      <c r="EM12" s="2">
        <f t="shared" si="39"/>
        <v>136</v>
      </c>
      <c r="ER12" s="2">
        <v>0.806</v>
      </c>
      <c r="ES12" s="2">
        <v>1.236</v>
      </c>
      <c r="ET12" s="2">
        <f t="shared" si="40"/>
        <v>0.0403</v>
      </c>
      <c r="EU12" s="2">
        <f t="shared" si="41"/>
        <v>3.296</v>
      </c>
      <c r="EZ12" s="2">
        <v>0.797</v>
      </c>
      <c r="FA12" s="2">
        <f t="shared" si="42"/>
        <v>0.708</v>
      </c>
      <c r="FB12" s="2">
        <v>0.162</v>
      </c>
      <c r="FC12" s="2">
        <f t="shared" si="43"/>
        <v>0.0354</v>
      </c>
      <c r="FD12" s="2">
        <f t="shared" si="44"/>
        <v>2.528571429</v>
      </c>
      <c r="FI12" s="2">
        <v>0.795</v>
      </c>
      <c r="FJ12" s="2">
        <v>0.731</v>
      </c>
      <c r="FK12" s="2">
        <f t="shared" si="45"/>
        <v>0.03975</v>
      </c>
      <c r="FL12" s="2">
        <f t="shared" si="46"/>
        <v>10.44285714</v>
      </c>
      <c r="FQ12" s="2">
        <v>0.75</v>
      </c>
      <c r="FR12" s="2">
        <v>0.751</v>
      </c>
      <c r="FS12" s="2">
        <f t="shared" si="47"/>
        <v>0.0375</v>
      </c>
      <c r="FT12" s="2">
        <f t="shared" si="48"/>
        <v>107.2857143</v>
      </c>
    </row>
    <row r="13">
      <c r="A13" s="2">
        <v>0.999</v>
      </c>
      <c r="B13" s="2">
        <v>1.621</v>
      </c>
      <c r="C13" s="2">
        <f t="shared" si="1"/>
        <v>0.04995</v>
      </c>
      <c r="D13" s="2">
        <f t="shared" si="2"/>
        <v>15.73786408</v>
      </c>
      <c r="I13" s="2">
        <v>0.91</v>
      </c>
      <c r="J13" s="2">
        <v>2.043</v>
      </c>
      <c r="K13" s="2">
        <f t="shared" si="3"/>
        <v>0.0455</v>
      </c>
      <c r="L13" s="2">
        <f t="shared" si="4"/>
        <v>15.9609375</v>
      </c>
      <c r="Q13" s="2">
        <v>0.839</v>
      </c>
      <c r="R13" s="2">
        <v>2.087</v>
      </c>
      <c r="S13" s="2">
        <f t="shared" si="5"/>
        <v>0.04195</v>
      </c>
      <c r="T13" s="2">
        <f t="shared" si="6"/>
        <v>33.12698413</v>
      </c>
      <c r="Y13" s="2">
        <v>0.828</v>
      </c>
      <c r="Z13" s="2">
        <v>1.42</v>
      </c>
      <c r="AA13" s="2">
        <f t="shared" si="7"/>
        <v>0.0414</v>
      </c>
      <c r="AB13" s="2">
        <f t="shared" si="8"/>
        <v>202.8571429</v>
      </c>
      <c r="AG13" s="2">
        <v>0.855</v>
      </c>
      <c r="AH13" s="2">
        <v>2.416</v>
      </c>
      <c r="AI13" s="2">
        <f t="shared" si="9"/>
        <v>0.04275</v>
      </c>
      <c r="AJ13" s="2">
        <f t="shared" si="10"/>
        <v>45.58490566</v>
      </c>
      <c r="AO13" s="2">
        <v>0.867</v>
      </c>
      <c r="AP13" s="2">
        <v>1.766</v>
      </c>
      <c r="AQ13" s="2">
        <f t="shared" si="11"/>
        <v>0.04335</v>
      </c>
      <c r="AR13" s="2">
        <f t="shared" si="12"/>
        <v>28.48387097</v>
      </c>
      <c r="AW13" s="2">
        <v>0.785</v>
      </c>
      <c r="AX13" s="2">
        <f t="shared" si="13"/>
        <v>0.766</v>
      </c>
      <c r="AY13" s="2">
        <v>1.984</v>
      </c>
      <c r="AZ13" s="2">
        <f t="shared" si="14"/>
        <v>0.0383</v>
      </c>
      <c r="BA13" s="2">
        <f t="shared" si="15"/>
        <v>17.10344828</v>
      </c>
      <c r="BN13" s="2">
        <v>0.85</v>
      </c>
      <c r="BO13" s="2">
        <v>3.587</v>
      </c>
      <c r="BP13" s="2">
        <f t="shared" si="18"/>
        <v>0.0425</v>
      </c>
      <c r="BQ13" s="2">
        <f t="shared" si="19"/>
        <v>717.4</v>
      </c>
      <c r="BV13" s="2">
        <v>0.875</v>
      </c>
      <c r="BW13" s="2">
        <v>0.871</v>
      </c>
      <c r="BX13" s="2">
        <f t="shared" si="20"/>
        <v>0.04375</v>
      </c>
      <c r="BY13" s="2">
        <f t="shared" si="21"/>
        <v>43.55</v>
      </c>
      <c r="CD13" s="2">
        <v>0.875</v>
      </c>
      <c r="CE13" s="2">
        <v>2.217</v>
      </c>
      <c r="CF13" s="2">
        <f t="shared" si="22"/>
        <v>0.04375</v>
      </c>
      <c r="CG13" s="2">
        <f t="shared" si="23"/>
        <v>51.55813953</v>
      </c>
      <c r="CL13" s="2">
        <v>0.817</v>
      </c>
      <c r="CM13" s="2">
        <f t="shared" si="24"/>
        <v>0.775</v>
      </c>
      <c r="CN13" s="2">
        <v>0.64</v>
      </c>
      <c r="CO13" s="2">
        <f t="shared" si="25"/>
        <v>0.03875</v>
      </c>
      <c r="CP13" s="2">
        <f t="shared" si="26"/>
        <v>45.71428571</v>
      </c>
      <c r="DD13" s="2">
        <v>0.856</v>
      </c>
      <c r="DE13" s="2">
        <v>0.755</v>
      </c>
      <c r="DF13" s="2">
        <f t="shared" si="30"/>
        <v>0.0428</v>
      </c>
      <c r="DG13" s="2">
        <f t="shared" si="31"/>
        <v>6.239669421</v>
      </c>
      <c r="DT13" s="2">
        <v>0.855</v>
      </c>
      <c r="DU13" s="2">
        <v>0.545</v>
      </c>
      <c r="DV13" s="2">
        <f t="shared" si="34"/>
        <v>0.04275</v>
      </c>
      <c r="DW13" s="2">
        <f t="shared" si="35"/>
        <v>3.385093168</v>
      </c>
      <c r="EB13" s="2">
        <v>0.822</v>
      </c>
      <c r="EC13" s="2">
        <v>0.351</v>
      </c>
      <c r="ED13" s="2">
        <f t="shared" si="36"/>
        <v>0.0411</v>
      </c>
      <c r="EE13" s="2">
        <f t="shared" si="37"/>
        <v>6.5</v>
      </c>
      <c r="EJ13" s="2">
        <v>0.831</v>
      </c>
      <c r="EK13" s="2">
        <v>1.927</v>
      </c>
      <c r="EL13" s="2">
        <f t="shared" si="38"/>
        <v>0.04155</v>
      </c>
      <c r="EM13" s="2">
        <f t="shared" si="39"/>
        <v>148.2307692</v>
      </c>
      <c r="ER13" s="2">
        <v>0.881</v>
      </c>
      <c r="ES13" s="2">
        <v>0.986</v>
      </c>
      <c r="ET13" s="2">
        <f t="shared" si="40"/>
        <v>0.04405</v>
      </c>
      <c r="EU13" s="2">
        <f t="shared" si="41"/>
        <v>2.629333333</v>
      </c>
      <c r="EZ13" s="2">
        <v>0.862</v>
      </c>
      <c r="FQ13" s="2">
        <v>0.81</v>
      </c>
      <c r="FR13" s="2">
        <v>0.486</v>
      </c>
      <c r="FS13" s="2">
        <f t="shared" si="47"/>
        <v>0.0405</v>
      </c>
      <c r="FT13" s="2">
        <f t="shared" si="48"/>
        <v>69.42857143</v>
      </c>
    </row>
    <row r="14">
      <c r="A14" s="2">
        <v>1.07</v>
      </c>
      <c r="B14" s="2">
        <v>1.346</v>
      </c>
      <c r="C14" s="2">
        <f t="shared" si="1"/>
        <v>0.0535</v>
      </c>
      <c r="D14" s="2">
        <f t="shared" si="2"/>
        <v>13.06796117</v>
      </c>
      <c r="I14" s="2">
        <v>0.975</v>
      </c>
      <c r="J14" s="2">
        <v>1.601</v>
      </c>
      <c r="K14" s="2">
        <f t="shared" si="3"/>
        <v>0.04875</v>
      </c>
      <c r="L14" s="2">
        <f t="shared" si="4"/>
        <v>12.5078125</v>
      </c>
      <c r="Q14" s="2">
        <v>0.937</v>
      </c>
      <c r="R14" s="2">
        <v>1.329</v>
      </c>
      <c r="S14" s="2">
        <f t="shared" si="5"/>
        <v>0.04685</v>
      </c>
      <c r="T14" s="2">
        <f t="shared" si="6"/>
        <v>21.0952381</v>
      </c>
      <c r="AO14" s="2">
        <v>0.925</v>
      </c>
      <c r="AP14" s="2">
        <v>1.251</v>
      </c>
      <c r="AQ14" s="2">
        <f t="shared" si="11"/>
        <v>0.04625</v>
      </c>
      <c r="AR14" s="2">
        <f t="shared" si="12"/>
        <v>20.17741935</v>
      </c>
      <c r="AW14" s="2">
        <v>0.847</v>
      </c>
      <c r="AX14" s="2">
        <f t="shared" si="13"/>
        <v>0.846</v>
      </c>
      <c r="AY14" s="2">
        <v>2.193</v>
      </c>
      <c r="AZ14" s="2">
        <f t="shared" si="14"/>
        <v>0.0423</v>
      </c>
      <c r="BA14" s="2">
        <f t="shared" si="15"/>
        <v>18.90517241</v>
      </c>
      <c r="BN14" s="2">
        <v>0.916</v>
      </c>
      <c r="BO14" s="2">
        <v>3.867</v>
      </c>
      <c r="BP14" s="2">
        <f t="shared" si="18"/>
        <v>0.0458</v>
      </c>
      <c r="BQ14" s="2">
        <f t="shared" si="19"/>
        <v>773.4</v>
      </c>
      <c r="BV14" s="2">
        <v>0.932</v>
      </c>
      <c r="BW14" s="2">
        <v>0.608</v>
      </c>
      <c r="BX14" s="2">
        <f t="shared" si="20"/>
        <v>0.0466</v>
      </c>
      <c r="BY14" s="2">
        <f t="shared" si="21"/>
        <v>30.4</v>
      </c>
      <c r="CD14" s="2">
        <v>0.875</v>
      </c>
      <c r="CE14" s="2">
        <v>2.158</v>
      </c>
      <c r="CF14" s="2">
        <f t="shared" si="22"/>
        <v>0.04375</v>
      </c>
      <c r="CG14" s="2">
        <f t="shared" si="23"/>
        <v>50.18604651</v>
      </c>
      <c r="CL14" s="2">
        <v>0.884</v>
      </c>
      <c r="DD14" s="2">
        <v>0.92</v>
      </c>
      <c r="DE14" s="2">
        <v>0.523</v>
      </c>
      <c r="DF14" s="2">
        <f t="shared" si="30"/>
        <v>0.046</v>
      </c>
      <c r="DG14" s="2">
        <f t="shared" si="31"/>
        <v>4.32231405</v>
      </c>
      <c r="EJ14" s="2">
        <v>0.91</v>
      </c>
      <c r="EK14" s="2">
        <v>2.092</v>
      </c>
      <c r="EL14" s="2">
        <f t="shared" si="38"/>
        <v>0.0455</v>
      </c>
      <c r="EM14" s="2">
        <f t="shared" si="39"/>
        <v>160.9230769</v>
      </c>
      <c r="ER14" s="2">
        <v>0.955</v>
      </c>
      <c r="ES14" s="2">
        <v>0.719</v>
      </c>
      <c r="ET14" s="2">
        <f t="shared" si="40"/>
        <v>0.04775</v>
      </c>
      <c r="EU14" s="2">
        <f t="shared" si="41"/>
        <v>1.917333333</v>
      </c>
    </row>
    <row r="15">
      <c r="A15" s="2">
        <v>1.137</v>
      </c>
      <c r="B15" s="2">
        <v>1.04</v>
      </c>
      <c r="C15" s="2">
        <f t="shared" si="1"/>
        <v>0.05685</v>
      </c>
      <c r="D15" s="2">
        <f t="shared" si="2"/>
        <v>10.09708738</v>
      </c>
      <c r="I15" s="2">
        <v>1.032</v>
      </c>
      <c r="J15" s="2">
        <v>1.114</v>
      </c>
      <c r="K15" s="2">
        <f t="shared" si="3"/>
        <v>0.0516</v>
      </c>
      <c r="L15" s="2">
        <f t="shared" si="4"/>
        <v>8.703125</v>
      </c>
      <c r="AW15" s="2">
        <v>0.927</v>
      </c>
      <c r="AX15" s="2">
        <f t="shared" si="13"/>
        <v>0.919</v>
      </c>
      <c r="AY15" s="2">
        <v>2.403</v>
      </c>
      <c r="AZ15" s="2">
        <f t="shared" si="14"/>
        <v>0.04595</v>
      </c>
      <c r="BA15" s="2">
        <f t="shared" si="15"/>
        <v>20.71551724</v>
      </c>
      <c r="BN15" s="2">
        <v>0.985</v>
      </c>
      <c r="BO15" s="2">
        <v>4.139</v>
      </c>
      <c r="BP15" s="2">
        <f t="shared" si="18"/>
        <v>0.04925</v>
      </c>
      <c r="BQ15" s="2">
        <f t="shared" si="19"/>
        <v>827.8</v>
      </c>
      <c r="CD15" s="2">
        <v>0.997</v>
      </c>
      <c r="CE15" s="2">
        <v>1.685</v>
      </c>
      <c r="CF15" s="2">
        <f t="shared" si="22"/>
        <v>0.04985</v>
      </c>
      <c r="CG15" s="2">
        <f t="shared" si="23"/>
        <v>39.18604651</v>
      </c>
      <c r="EJ15" s="2">
        <v>0.975</v>
      </c>
      <c r="EK15" s="2">
        <v>2.281</v>
      </c>
      <c r="EL15" s="2">
        <f t="shared" si="38"/>
        <v>0.04875</v>
      </c>
      <c r="EM15" s="2">
        <f t="shared" si="39"/>
        <v>175.4615385</v>
      </c>
      <c r="ER15" s="2">
        <v>1.022</v>
      </c>
      <c r="ES15" s="2">
        <v>0.432</v>
      </c>
      <c r="ET15" s="2">
        <f t="shared" si="40"/>
        <v>0.0511</v>
      </c>
      <c r="EU15" s="2">
        <f t="shared" si="41"/>
        <v>1.152</v>
      </c>
    </row>
    <row r="16">
      <c r="A16" s="2">
        <v>1.215</v>
      </c>
      <c r="B16" s="2">
        <v>0.704</v>
      </c>
      <c r="C16" s="2">
        <f t="shared" si="1"/>
        <v>0.06075</v>
      </c>
      <c r="D16" s="2">
        <f t="shared" si="2"/>
        <v>6.834951456</v>
      </c>
      <c r="I16" s="2">
        <v>1.095</v>
      </c>
      <c r="J16" s="2">
        <v>0.581</v>
      </c>
      <c r="K16" s="2">
        <f t="shared" si="3"/>
        <v>0.05475</v>
      </c>
      <c r="L16" s="2">
        <f t="shared" si="4"/>
        <v>4.5390625</v>
      </c>
      <c r="AW16" s="2">
        <v>1.0</v>
      </c>
      <c r="AX16" s="2">
        <f t="shared" si="13"/>
        <v>0.984</v>
      </c>
      <c r="AY16" s="2">
        <v>2.612</v>
      </c>
      <c r="AZ16" s="2">
        <f t="shared" si="14"/>
        <v>0.0492</v>
      </c>
      <c r="BA16" s="2">
        <f t="shared" si="15"/>
        <v>22.51724138</v>
      </c>
      <c r="BN16" s="2">
        <v>1.05</v>
      </c>
      <c r="BO16" s="2">
        <v>4.428</v>
      </c>
      <c r="BP16" s="2">
        <f t="shared" si="18"/>
        <v>0.0525</v>
      </c>
      <c r="BQ16" s="2">
        <f t="shared" si="19"/>
        <v>885.6</v>
      </c>
      <c r="CD16" s="2">
        <v>1.062</v>
      </c>
      <c r="CE16" s="2">
        <v>1.173</v>
      </c>
      <c r="CF16" s="2">
        <f t="shared" si="22"/>
        <v>0.0531</v>
      </c>
      <c r="CG16" s="2">
        <f t="shared" si="23"/>
        <v>27.27906977</v>
      </c>
      <c r="EJ16" s="2">
        <v>1.05</v>
      </c>
      <c r="EK16" s="2">
        <v>2.452</v>
      </c>
      <c r="EL16" s="2">
        <f t="shared" si="38"/>
        <v>0.0525</v>
      </c>
      <c r="EM16" s="2">
        <f t="shared" si="39"/>
        <v>188.6153846</v>
      </c>
    </row>
    <row r="17">
      <c r="A17" s="2">
        <v>1.289</v>
      </c>
      <c r="B17" s="2">
        <v>0.329</v>
      </c>
      <c r="C17" s="2">
        <f t="shared" si="1"/>
        <v>0.06445</v>
      </c>
      <c r="D17" s="2">
        <f t="shared" si="2"/>
        <v>3.194174757</v>
      </c>
      <c r="AW17" s="2">
        <v>1.065</v>
      </c>
      <c r="AX17" s="2">
        <f t="shared" si="13"/>
        <v>1.044</v>
      </c>
      <c r="AY17" s="2">
        <v>2.81</v>
      </c>
      <c r="AZ17" s="2">
        <f t="shared" si="14"/>
        <v>0.0522</v>
      </c>
      <c r="BA17" s="2">
        <f t="shared" si="15"/>
        <v>24.22413793</v>
      </c>
      <c r="BN17" s="2">
        <v>1.135</v>
      </c>
      <c r="BO17" s="2">
        <v>4.722</v>
      </c>
      <c r="BP17" s="2">
        <f t="shared" si="18"/>
        <v>0.05675</v>
      </c>
      <c r="BQ17" s="2">
        <f t="shared" si="19"/>
        <v>944.4</v>
      </c>
    </row>
    <row r="18">
      <c r="AW18" s="2">
        <v>1.125</v>
      </c>
      <c r="AX18" s="2">
        <f t="shared" si="13"/>
        <v>1.044</v>
      </c>
      <c r="AY18" s="2">
        <v>2.967</v>
      </c>
      <c r="AZ18" s="2">
        <f t="shared" si="14"/>
        <v>0.0522</v>
      </c>
      <c r="BA18" s="2">
        <f t="shared" si="15"/>
        <v>25.57758621</v>
      </c>
      <c r="BN18" s="2">
        <v>1.204</v>
      </c>
      <c r="BO18" s="2">
        <v>4.666</v>
      </c>
      <c r="BP18" s="2">
        <f t="shared" si="18"/>
        <v>0.0602</v>
      </c>
      <c r="BQ18" s="2">
        <f t="shared" si="19"/>
        <v>933.2</v>
      </c>
    </row>
    <row r="19">
      <c r="AW19" s="2">
        <v>1.125</v>
      </c>
      <c r="AX19" s="2">
        <f t="shared" si="13"/>
        <v>1.191</v>
      </c>
      <c r="AY19" s="2">
        <v>3.181</v>
      </c>
      <c r="AZ19" s="2">
        <f t="shared" si="14"/>
        <v>0.05955</v>
      </c>
      <c r="BA19" s="2">
        <f t="shared" si="15"/>
        <v>27.42241379</v>
      </c>
      <c r="BN19" s="2">
        <v>1.265</v>
      </c>
      <c r="BO19" s="2">
        <v>4.223</v>
      </c>
      <c r="BP19" s="2">
        <f t="shared" si="18"/>
        <v>0.06325</v>
      </c>
      <c r="BQ19" s="2">
        <f t="shared" si="19"/>
        <v>844.6</v>
      </c>
    </row>
    <row r="20">
      <c r="AW20" s="2">
        <v>1.272</v>
      </c>
      <c r="AX20" s="2">
        <f t="shared" si="13"/>
        <v>1.269</v>
      </c>
      <c r="AY20" s="2">
        <v>2.602</v>
      </c>
      <c r="AZ20" s="2">
        <f t="shared" si="14"/>
        <v>0.06345</v>
      </c>
      <c r="BA20" s="2">
        <f t="shared" si="15"/>
        <v>22.43103448</v>
      </c>
    </row>
    <row r="21" ht="15.75" customHeight="1">
      <c r="AW21" s="2">
        <v>1.35</v>
      </c>
      <c r="AX21" s="2">
        <f t="shared" si="13"/>
        <v>1.35</v>
      </c>
      <c r="AY21" s="2">
        <v>2.023</v>
      </c>
      <c r="AZ21" s="2">
        <f t="shared" si="14"/>
        <v>0.0675</v>
      </c>
      <c r="BA21" s="2">
        <f t="shared" si="15"/>
        <v>17.43965517</v>
      </c>
    </row>
    <row r="22" ht="15.75" customHeight="1">
      <c r="AW22" s="2">
        <v>1.431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B1" s="1" t="s">
        <v>30</v>
      </c>
      <c r="G1" s="1" t="s">
        <v>31</v>
      </c>
    </row>
    <row r="2">
      <c r="C2" s="2" t="str">
        <f>COROUI!E1</f>
        <v>Cont(max)</v>
      </c>
      <c r="D2" s="2" t="str">
        <f>COROUI!F1</f>
        <v>Def rupt</v>
      </c>
      <c r="E2" s="2" t="str">
        <f>COROUI!G1</f>
        <v>E(mpa)</v>
      </c>
      <c r="H2" s="2" t="str">
        <f>COSOU!E1</f>
        <v>Cont(max)</v>
      </c>
      <c r="I2" s="2" t="str">
        <f>COSOU!F1</f>
        <v>Def rupt</v>
      </c>
      <c r="J2" s="2" t="str">
        <f>COSOU!G1</f>
        <v>E(mpa)</v>
      </c>
    </row>
    <row r="3">
      <c r="B3" s="2" t="s">
        <v>8</v>
      </c>
      <c r="C3" s="3">
        <f>COROUI!M2</f>
        <v>79.40625</v>
      </c>
      <c r="D3" s="3">
        <f>COROUI!N2</f>
        <v>0.02295</v>
      </c>
      <c r="E3" s="2">
        <f>COROUI!O2</f>
        <v>8186.2</v>
      </c>
      <c r="G3" s="2" t="s">
        <v>8</v>
      </c>
      <c r="H3" s="3">
        <f>COSOU!E2</f>
        <v>15.73786408</v>
      </c>
      <c r="I3" s="3">
        <f>COSOU!F2</f>
        <v>0.04995</v>
      </c>
      <c r="J3" s="2">
        <f>COSOU!G2</f>
        <v>421.29</v>
      </c>
    </row>
    <row r="4">
      <c r="B4" s="2" t="s">
        <v>9</v>
      </c>
      <c r="C4" s="3">
        <f>COROUI!U2</f>
        <v>51.14285714</v>
      </c>
      <c r="D4" s="3">
        <f>COROUI!V2</f>
        <v>0.0281</v>
      </c>
      <c r="E4" s="2">
        <f>COROUI!W2</f>
        <v>2532.3</v>
      </c>
      <c r="G4" s="2" t="s">
        <v>9</v>
      </c>
      <c r="H4" s="3">
        <f>COSOU!M2</f>
        <v>19</v>
      </c>
      <c r="I4" s="3">
        <f>COSOU!N2</f>
        <v>0.04185</v>
      </c>
      <c r="J4" s="2">
        <f>COSOU!O2</f>
        <v>613.25</v>
      </c>
    </row>
    <row r="5">
      <c r="B5" s="2" t="s">
        <v>10</v>
      </c>
      <c r="C5" s="3">
        <f>COROUI!AM2</f>
        <v>43.93333333</v>
      </c>
      <c r="D5" s="3">
        <f>COROUI!AN2</f>
        <v>0.02125</v>
      </c>
      <c r="E5" s="2">
        <f>COROUI!AO2</f>
        <v>1643.4</v>
      </c>
      <c r="G5" s="2" t="s">
        <v>10</v>
      </c>
      <c r="H5" s="3">
        <f>COSOU!U2</f>
        <v>51.76190476</v>
      </c>
      <c r="I5" s="3">
        <f>COSOU!V2</f>
        <v>0.0349</v>
      </c>
      <c r="J5" s="2">
        <f>COSOU!W2</f>
        <v>2337.4</v>
      </c>
    </row>
    <row r="6">
      <c r="B6" s="2" t="s">
        <v>11</v>
      </c>
      <c r="C6" s="3">
        <f>COROUI!AU2</f>
        <v>80.59574468</v>
      </c>
      <c r="D6" s="3">
        <f>COROUI!AV2</f>
        <v>0.02175</v>
      </c>
      <c r="E6" s="2">
        <f>COROUI!AW2</f>
        <v>5635</v>
      </c>
      <c r="G6" s="2" t="s">
        <v>11</v>
      </c>
      <c r="H6" s="3">
        <f>COSOU!AK2</f>
        <v>69.30188679</v>
      </c>
      <c r="I6" s="3">
        <f>COSOU!AL2</f>
        <v>0.03605</v>
      </c>
      <c r="J6" s="2">
        <f>COSOU!AM2</f>
        <v>2729.6</v>
      </c>
    </row>
    <row r="7">
      <c r="B7" s="2" t="s">
        <v>12</v>
      </c>
      <c r="C7" s="3">
        <f>COROUI!BC2</f>
        <v>102.9268293</v>
      </c>
      <c r="D7" s="3">
        <f>COROUI!BD2</f>
        <v>0.02775</v>
      </c>
      <c r="E7" s="2">
        <f>COROUI!BE2</f>
        <v>4946.5</v>
      </c>
      <c r="G7" s="2" t="s">
        <v>12</v>
      </c>
      <c r="H7" s="3">
        <f>COSOU!AS2</f>
        <v>41.69354839</v>
      </c>
      <c r="I7" s="3">
        <f>COSOU!AT2</f>
        <v>0.03595</v>
      </c>
      <c r="J7" s="2">
        <f>COSOU!AU2</f>
        <v>1355</v>
      </c>
    </row>
    <row r="8">
      <c r="B8" s="2" t="s">
        <v>13</v>
      </c>
      <c r="C8" s="3">
        <f>COROUI!BK2</f>
        <v>244.04</v>
      </c>
      <c r="D8" s="3">
        <f>COROUI!BL2</f>
        <v>0.05465</v>
      </c>
      <c r="E8" s="2">
        <f>COROUI!BM2</f>
        <v>5260.6</v>
      </c>
      <c r="G8" s="2" t="s">
        <v>13</v>
      </c>
      <c r="H8" s="3">
        <f>COSOU!BB2</f>
        <v>27.42241379</v>
      </c>
      <c r="I8" s="3">
        <f>COSOU!BC2</f>
        <v>0.05955</v>
      </c>
      <c r="J8" s="2">
        <f>COSOU!BD2</f>
        <v>481.26</v>
      </c>
    </row>
    <row r="9">
      <c r="B9" s="2" t="s">
        <v>14</v>
      </c>
      <c r="C9" s="3">
        <f>COROUI!BS2</f>
        <v>76.53333333</v>
      </c>
      <c r="D9" s="3">
        <f>COROUI!BT2</f>
        <v>0.02275</v>
      </c>
      <c r="E9" s="2">
        <f>COROUI!BU2</f>
        <v>3474</v>
      </c>
      <c r="G9" s="2" t="s">
        <v>14</v>
      </c>
      <c r="H9" s="3">
        <f>COSOU!BJ2</f>
        <v>15.17647059</v>
      </c>
      <c r="I9" s="3">
        <f>COSOU!BK2</f>
        <v>0.02285</v>
      </c>
      <c r="J9" s="2">
        <f>COSOU!BL2</f>
        <v>926.96</v>
      </c>
    </row>
    <row r="10">
      <c r="B10" s="2" t="s">
        <v>15</v>
      </c>
      <c r="C10" s="3">
        <f>COROUI!CR2</f>
        <v>58.89473684</v>
      </c>
      <c r="D10" s="3">
        <f>COROUI!CS2</f>
        <v>0.0207</v>
      </c>
      <c r="E10" s="2">
        <f>COROUI!CT2</f>
        <v>3988.8</v>
      </c>
      <c r="G10" s="2" t="s">
        <v>15</v>
      </c>
      <c r="H10" s="3">
        <f>COSOU!BZ2</f>
        <v>67.1</v>
      </c>
      <c r="I10" s="3">
        <f>COSOU!CA2</f>
        <v>0.03585</v>
      </c>
      <c r="J10" s="2">
        <f>COSOU!CB2</f>
        <v>2772.6</v>
      </c>
    </row>
    <row r="11">
      <c r="B11" s="2" t="s">
        <v>16</v>
      </c>
      <c r="C11" s="3">
        <f>COROUI!CZ2</f>
        <v>161.8333333</v>
      </c>
      <c r="D11" s="3">
        <f>COROUI!DA2</f>
        <v>0.0495</v>
      </c>
      <c r="E11" s="2">
        <f>COROUI!DB2</f>
        <v>4034.9</v>
      </c>
      <c r="G11" s="2" t="s">
        <v>16</v>
      </c>
      <c r="H11" s="3">
        <f>COSOU!CH2</f>
        <v>52.13953488</v>
      </c>
      <c r="I11" s="3">
        <f>COSOU!CI2</f>
        <v>0.0405</v>
      </c>
      <c r="J11" s="2">
        <f>COSOU!CJ2</f>
        <v>2317.3</v>
      </c>
    </row>
    <row r="12">
      <c r="B12" s="2" t="s">
        <v>17</v>
      </c>
      <c r="C12" s="3">
        <f>COROUI!DH2</f>
        <v>252.5294118</v>
      </c>
      <c r="D12" s="3">
        <f>COROUI!DI2</f>
        <v>0.02905</v>
      </c>
      <c r="E12" s="2">
        <f>COROUI!DJ2</f>
        <v>11467</v>
      </c>
      <c r="G12" s="2" t="s">
        <v>17</v>
      </c>
      <c r="H12" s="3">
        <f>COSOU!CQ2</f>
        <v>89.5</v>
      </c>
      <c r="I12" s="3">
        <f>COSOU!CR2</f>
        <v>0.02855</v>
      </c>
      <c r="J12" s="2">
        <f>COSOU!CS2</f>
        <v>3472.6</v>
      </c>
    </row>
    <row r="13">
      <c r="B13" s="2" t="s">
        <v>18</v>
      </c>
      <c r="C13" s="3">
        <f>COROUI!DP2</f>
        <v>560.1428571</v>
      </c>
      <c r="D13" s="3">
        <f>COROUI!DQ2</f>
        <v>0.059</v>
      </c>
      <c r="E13" s="2">
        <f>COROUI!DR2</f>
        <v>13840</v>
      </c>
      <c r="G13" s="2" t="s">
        <v>18</v>
      </c>
      <c r="H13" s="3">
        <f>COSOU!CZ2</f>
        <v>15.79487179</v>
      </c>
      <c r="I13" s="3">
        <f>COSOU!DA2</f>
        <v>0.0225</v>
      </c>
      <c r="J13" s="2">
        <f>COSOU!DB2</f>
        <v>906.74</v>
      </c>
    </row>
    <row r="14">
      <c r="B14" s="2" t="s">
        <v>19</v>
      </c>
      <c r="C14" s="3">
        <f>COROUI!DX2</f>
        <v>455.5</v>
      </c>
      <c r="D14" s="3">
        <f>COROUI!DY2</f>
        <v>0.049</v>
      </c>
      <c r="E14" s="2">
        <f>COROUI!DZ2</f>
        <v>15077</v>
      </c>
      <c r="G14" s="2" t="s">
        <v>19</v>
      </c>
      <c r="H14" s="3">
        <f>COSOU!DP2</f>
        <v>54.51612903</v>
      </c>
      <c r="I14" s="3">
        <f>COSOU!DQ2</f>
        <v>0.0207</v>
      </c>
      <c r="J14" s="2">
        <f>COSOU!DR2</f>
        <v>4041.2</v>
      </c>
    </row>
    <row r="15">
      <c r="B15" s="2" t="s">
        <v>20</v>
      </c>
      <c r="C15" s="3">
        <f>COROUI!EF2</f>
        <v>224.4</v>
      </c>
      <c r="D15" s="3">
        <f>COROUI!EG2</f>
        <v>0.03955</v>
      </c>
      <c r="E15" s="2">
        <f>COROUI!EH2</f>
        <v>8195.7</v>
      </c>
      <c r="G15" s="2" t="s">
        <v>20</v>
      </c>
      <c r="H15" s="3">
        <f>COSOU!EF2</f>
        <v>15.16666667</v>
      </c>
      <c r="I15" s="3">
        <f>COSOU!EG2</f>
        <v>0.03135</v>
      </c>
      <c r="J15" s="2">
        <f>COSOU!EH2</f>
        <v>98.947</v>
      </c>
    </row>
    <row r="16">
      <c r="B16" s="2" t="s">
        <v>21</v>
      </c>
      <c r="C16" s="3">
        <f>COROUI!EN2</f>
        <v>264.3</v>
      </c>
      <c r="D16" s="3">
        <f>COROUI!EO2</f>
        <v>0.0223</v>
      </c>
      <c r="E16" s="2">
        <f>COROUI!EP2</f>
        <v>19089</v>
      </c>
      <c r="G16" s="2" t="s">
        <v>21</v>
      </c>
      <c r="H16" s="3">
        <f>COSOU!EN2</f>
        <v>188.6153846</v>
      </c>
      <c r="I16" s="3">
        <f>COSOU!EO2</f>
        <v>0.0525</v>
      </c>
      <c r="J16" s="2">
        <f>COSOU!EP2</f>
        <v>4633.8</v>
      </c>
    </row>
    <row r="17">
      <c r="B17" s="2" t="s">
        <v>22</v>
      </c>
      <c r="C17" s="3">
        <f>COROUI!EV2</f>
        <v>180.3181818</v>
      </c>
      <c r="D17" s="3">
        <f>COROUI!EW2</f>
        <v>0.0235</v>
      </c>
      <c r="E17" s="2">
        <f>COROUI!EX2</f>
        <v>13449</v>
      </c>
      <c r="G17" s="2" t="s">
        <v>22</v>
      </c>
      <c r="H17" s="3">
        <f>COSOU!FM2</f>
        <v>21.22857143</v>
      </c>
      <c r="I17" s="3">
        <f>COSOU!FN2</f>
        <v>0.03055</v>
      </c>
      <c r="J17" s="2">
        <f>COSOU!FO2</f>
        <v>985.7</v>
      </c>
    </row>
    <row r="18">
      <c r="B18" s="2" t="s">
        <v>23</v>
      </c>
      <c r="C18" s="3">
        <f>COROUI!FM2</f>
        <v>453.1666667</v>
      </c>
      <c r="D18" s="3">
        <f>COROUI!FN2</f>
        <v>0.01975</v>
      </c>
      <c r="E18" s="2">
        <f>COROUI!FO2</f>
        <v>30189</v>
      </c>
      <c r="G18" s="2" t="s">
        <v>23</v>
      </c>
      <c r="H18" s="2">
        <f>COSOU!FU2</f>
        <v>169</v>
      </c>
      <c r="I18" s="3">
        <f>COSOU!FV2</f>
        <v>0.02985</v>
      </c>
      <c r="J18" s="2">
        <f>COSOU!FW2</f>
        <v>8086.4</v>
      </c>
    </row>
    <row r="19">
      <c r="B19" s="2" t="s">
        <v>24</v>
      </c>
      <c r="C19" s="3">
        <f>COROUI!FV2</f>
        <v>55.29545455</v>
      </c>
      <c r="D19" s="3">
        <f>COROUI!FW2</f>
        <v>0.0368</v>
      </c>
      <c r="E19" s="2">
        <f>COROUI!FX2</f>
        <v>2354.2</v>
      </c>
      <c r="G19" s="2" t="s">
        <v>24</v>
      </c>
    </row>
    <row r="20">
      <c r="B20" s="2" t="s">
        <v>25</v>
      </c>
      <c r="G20" s="2" t="s">
        <v>25</v>
      </c>
    </row>
    <row r="21" ht="15.75" customHeight="1">
      <c r="B21" s="2" t="s">
        <v>26</v>
      </c>
      <c r="G21" s="2" t="s">
        <v>26</v>
      </c>
    </row>
    <row r="22" ht="15.75" customHeight="1">
      <c r="B22" s="2" t="s">
        <v>27</v>
      </c>
      <c r="G22" s="2" t="s">
        <v>27</v>
      </c>
    </row>
    <row r="23" ht="15.75" customHeight="1">
      <c r="B23" s="2" t="s">
        <v>28</v>
      </c>
      <c r="G23" s="2" t="s">
        <v>28</v>
      </c>
    </row>
    <row r="24" ht="15.75" customHeight="1">
      <c r="B24" s="2" t="s">
        <v>29</v>
      </c>
      <c r="G24" s="2" t="s">
        <v>29</v>
      </c>
    </row>
    <row r="25" ht="15.75" customHeight="1">
      <c r="B25" s="2" t="s">
        <v>37</v>
      </c>
      <c r="C25" s="3">
        <f>AVERAGE(C3:C19)</f>
        <v>196.7622935</v>
      </c>
      <c r="D25" s="3">
        <f>AVERAGE(D3:D19)*100</f>
        <v>3.225588235</v>
      </c>
      <c r="E25" s="3">
        <f>AVERAGE(E3:E19)</f>
        <v>9021.329412</v>
      </c>
      <c r="G25" s="2" t="s">
        <v>37</v>
      </c>
      <c r="H25" s="3">
        <f>AVERAGE(H3:H18)</f>
        <v>57.07220293</v>
      </c>
      <c r="I25" s="3">
        <f>AVERAGE(I3:I18)*100</f>
        <v>3.5840625</v>
      </c>
      <c r="J25" s="3">
        <f>AVERAGE(J3:J18)</f>
        <v>2261.252938</v>
      </c>
    </row>
    <row r="26" ht="15.75" customHeight="1">
      <c r="B26" s="2" t="s">
        <v>38</v>
      </c>
      <c r="C26" s="3">
        <f>_xlfn.STDEV.S(C3:C19)</f>
        <v>160.2739573</v>
      </c>
      <c r="D26" s="3">
        <f>_xlfn.STDEV.S(D3:D19)*100</f>
        <v>1.320596317</v>
      </c>
      <c r="E26" s="3">
        <f>_xlfn.STDEV.S(E3:E19)</f>
        <v>7501.890926</v>
      </c>
      <c r="G26" s="2" t="s">
        <v>38</v>
      </c>
      <c r="H26" s="3">
        <f>_xlfn.STDEV.S(H3:H18)</f>
        <v>52.89343492</v>
      </c>
      <c r="I26" s="3">
        <f>_xlfn.STDEV.S(I3:I18)*100</f>
        <v>1.098687427</v>
      </c>
      <c r="J26" s="3">
        <f>_xlfn.STDEV.S(J3:J18)</f>
        <v>2076.781922</v>
      </c>
    </row>
    <row r="27" ht="15.75" customHeight="1"/>
    <row r="28" ht="15.75" customHeight="1"/>
    <row r="29" ht="15.75" customHeight="1"/>
    <row r="30" ht="15.75" customHeight="1"/>
    <row r="31" ht="15.75" customHeight="1">
      <c r="C31" s="2" t="str">
        <f>B1</f>
        <v>COROUI</v>
      </c>
      <c r="D31" s="2" t="str">
        <f>G1</f>
        <v>COSOU</v>
      </c>
      <c r="I31" s="2" t="str">
        <f t="shared" ref="I31:J31" si="1">C31</f>
        <v>COROUI</v>
      </c>
      <c r="J31" s="2" t="str">
        <f t="shared" si="1"/>
        <v>COSOU</v>
      </c>
      <c r="O31" s="2" t="str">
        <f t="shared" ref="O31:P31" si="2">I31</f>
        <v>COROUI</v>
      </c>
      <c r="P31" s="2" t="str">
        <f t="shared" si="2"/>
        <v>COSOU</v>
      </c>
    </row>
    <row r="32" ht="15.75" customHeight="1">
      <c r="B32" s="2" t="str">
        <f>C2</f>
        <v>Cont(max)</v>
      </c>
      <c r="C32" s="3">
        <f>C25</f>
        <v>196.7622935</v>
      </c>
      <c r="D32" s="3">
        <f t="shared" ref="D32:D33" si="4">H25</f>
        <v>57.07220293</v>
      </c>
      <c r="H32" s="2" t="str">
        <f>D2</f>
        <v>Def rupt</v>
      </c>
      <c r="I32" s="3">
        <f t="shared" ref="I32:I33" si="5">D25</f>
        <v>3.225588235</v>
      </c>
      <c r="J32" s="3">
        <f t="shared" ref="J32:J33" si="6">I25</f>
        <v>3.5840625</v>
      </c>
      <c r="N32" s="2" t="str">
        <f>E2</f>
        <v>E(mpa)</v>
      </c>
      <c r="O32" s="3">
        <f t="shared" ref="O32:O33" si="7">E25</f>
        <v>9021.329412</v>
      </c>
      <c r="P32" s="3">
        <f t="shared" ref="P32:P33" si="8">J25</f>
        <v>2261.252938</v>
      </c>
    </row>
    <row r="33" ht="15.75" customHeight="1">
      <c r="B33" s="2" t="str">
        <f t="shared" ref="B33:C33" si="3">B26</f>
        <v>ECART-TYPE</v>
      </c>
      <c r="C33" s="3">
        <f t="shared" si="3"/>
        <v>160.2739573</v>
      </c>
      <c r="D33" s="3">
        <f t="shared" si="4"/>
        <v>52.89343492</v>
      </c>
      <c r="H33" s="2" t="str">
        <f>B26</f>
        <v>ECART-TYPE</v>
      </c>
      <c r="I33" s="3">
        <f t="shared" si="5"/>
        <v>1.320596317</v>
      </c>
      <c r="J33" s="3">
        <f t="shared" si="6"/>
        <v>1.098687427</v>
      </c>
      <c r="N33" s="2" t="str">
        <f>G26</f>
        <v>ECART-TYPE</v>
      </c>
      <c r="O33" s="3">
        <f t="shared" si="7"/>
        <v>7501.890926</v>
      </c>
      <c r="P33" s="3">
        <f t="shared" si="8"/>
        <v>2076.781922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G1:J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B1" s="1" t="s">
        <v>32</v>
      </c>
      <c r="E1" s="1" t="s">
        <v>33</v>
      </c>
    </row>
    <row r="2"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</row>
    <row r="3">
      <c r="A3" s="2" t="s">
        <v>34</v>
      </c>
      <c r="B3" s="2">
        <v>0.341</v>
      </c>
      <c r="C3" s="2">
        <v>0.313</v>
      </c>
      <c r="D3" s="2">
        <v>0.304</v>
      </c>
      <c r="E3" s="2">
        <v>0.301</v>
      </c>
      <c r="F3" s="2">
        <v>0.331</v>
      </c>
      <c r="G3" s="2">
        <v>0.312</v>
      </c>
    </row>
    <row r="4">
      <c r="A4" s="2" t="s">
        <v>35</v>
      </c>
      <c r="B4" s="2">
        <v>0.834</v>
      </c>
      <c r="C4" s="2">
        <v>0.801</v>
      </c>
      <c r="D4" s="2">
        <v>0.768</v>
      </c>
      <c r="E4" s="2">
        <v>0.726</v>
      </c>
      <c r="F4" s="2">
        <v>0.798</v>
      </c>
      <c r="G4" s="2">
        <v>0.817</v>
      </c>
    </row>
    <row r="5">
      <c r="A5" s="2" t="s">
        <v>36</v>
      </c>
      <c r="B5" s="3">
        <f t="shared" ref="B5:G5" si="1">(B4-B3)*100/B3</f>
        <v>144.5747801</v>
      </c>
      <c r="C5" s="3">
        <f t="shared" si="1"/>
        <v>155.9105431</v>
      </c>
      <c r="D5" s="3">
        <f t="shared" si="1"/>
        <v>152.6315789</v>
      </c>
      <c r="E5" s="3">
        <f t="shared" si="1"/>
        <v>141.1960133</v>
      </c>
      <c r="F5" s="3">
        <f t="shared" si="1"/>
        <v>141.0876133</v>
      </c>
      <c r="G5" s="3">
        <f t="shared" si="1"/>
        <v>161.8589744</v>
      </c>
      <c r="H5" s="3"/>
      <c r="I5" s="3"/>
      <c r="J5" s="3"/>
    </row>
    <row r="6">
      <c r="A6" s="2" t="s">
        <v>37</v>
      </c>
      <c r="B6" s="5">
        <f>AVERAGE(B5:D5)</f>
        <v>151.0389674</v>
      </c>
      <c r="E6" s="5">
        <f>AVERAGE(E5:G5)</f>
        <v>148.0475336</v>
      </c>
      <c r="H6" s="5"/>
    </row>
    <row r="7">
      <c r="A7" s="2" t="s">
        <v>38</v>
      </c>
      <c r="B7" s="5">
        <f>_xlfn.STDEV.S(B5:D5)</f>
        <v>5.833282936</v>
      </c>
      <c r="E7" s="5">
        <f>_xlfn.STDEV.S(E5:G5)</f>
        <v>11.96118132</v>
      </c>
      <c r="H7" s="5"/>
    </row>
    <row r="8">
      <c r="E8" s="2" t="str">
        <f>B1</f>
        <v>CR</v>
      </c>
      <c r="F8" s="2" t="str">
        <f>E1</f>
        <v>CS</v>
      </c>
    </row>
    <row r="9">
      <c r="D9" s="2" t="str">
        <f>A5</f>
        <v>TAUX _(%)</v>
      </c>
      <c r="E9" s="3">
        <f>B6</f>
        <v>151.0389674</v>
      </c>
      <c r="F9" s="3">
        <f t="shared" ref="F9:F10" si="3">E6</f>
        <v>148.0475336</v>
      </c>
    </row>
    <row r="10">
      <c r="D10" s="2" t="str">
        <f t="shared" ref="D10:E10" si="2">A7</f>
        <v>ECART-TYPE</v>
      </c>
      <c r="E10" s="3">
        <f t="shared" si="2"/>
        <v>5.833282936</v>
      </c>
      <c r="F10" s="3">
        <f t="shared" si="3"/>
        <v>11.96118132</v>
      </c>
      <c r="G10" s="3"/>
    </row>
    <row r="11">
      <c r="E11" s="3"/>
      <c r="F11" s="3"/>
      <c r="G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D1"/>
    <mergeCell ref="E1:G1"/>
    <mergeCell ref="B6:D6"/>
    <mergeCell ref="E6:G6"/>
    <mergeCell ref="H6:J6"/>
    <mergeCell ref="B7:D7"/>
    <mergeCell ref="E7:G7"/>
    <mergeCell ref="H7:J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B1" s="1" t="s">
        <v>32</v>
      </c>
      <c r="E1" s="1" t="s">
        <v>33</v>
      </c>
      <c r="H1" s="1"/>
    </row>
    <row r="2"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</row>
    <row r="3">
      <c r="A3" s="2" t="s">
        <v>34</v>
      </c>
      <c r="B3" s="2">
        <v>0.341</v>
      </c>
      <c r="C3" s="2">
        <v>0.313</v>
      </c>
      <c r="D3" s="2">
        <v>0.304</v>
      </c>
      <c r="E3" s="2">
        <v>0.301</v>
      </c>
      <c r="F3" s="2">
        <v>0.331</v>
      </c>
      <c r="G3" s="2">
        <v>0.312</v>
      </c>
    </row>
    <row r="4">
      <c r="A4" s="2" t="s">
        <v>39</v>
      </c>
      <c r="B4" s="2">
        <v>0.385</v>
      </c>
      <c r="C4" s="2">
        <v>0.351</v>
      </c>
      <c r="D4" s="2">
        <v>0.337</v>
      </c>
      <c r="E4" s="2">
        <v>0.338</v>
      </c>
      <c r="F4" s="2">
        <v>0.366</v>
      </c>
      <c r="G4" s="2">
        <v>0.344</v>
      </c>
    </row>
    <row r="5">
      <c r="A5" s="2" t="s">
        <v>40</v>
      </c>
      <c r="B5" s="3">
        <f t="shared" ref="B5:G5" si="1">(B4-B3)*100/B3</f>
        <v>12.90322581</v>
      </c>
      <c r="C5" s="3">
        <f t="shared" si="1"/>
        <v>12.14057508</v>
      </c>
      <c r="D5" s="3">
        <f t="shared" si="1"/>
        <v>10.85526316</v>
      </c>
      <c r="E5" s="3">
        <f t="shared" si="1"/>
        <v>12.2923588</v>
      </c>
      <c r="F5" s="3">
        <f t="shared" si="1"/>
        <v>10.57401813</v>
      </c>
      <c r="G5" s="3">
        <f t="shared" si="1"/>
        <v>10.25641026</v>
      </c>
      <c r="H5" s="3"/>
      <c r="I5" s="3"/>
      <c r="J5" s="3"/>
    </row>
    <row r="6">
      <c r="A6" s="2" t="s">
        <v>41</v>
      </c>
      <c r="B6" s="5">
        <f>AVERAGE(B5:D5)</f>
        <v>11.96635468</v>
      </c>
      <c r="E6" s="5">
        <f>AVERAGE(E5:G5)</f>
        <v>11.04092906</v>
      </c>
      <c r="H6" s="5"/>
    </row>
    <row r="7">
      <c r="A7" s="2" t="s">
        <v>42</v>
      </c>
      <c r="B7" s="5">
        <f>_xlfn.STDEV.S(B5:D5)</f>
        <v>1.035037349</v>
      </c>
      <c r="E7" s="5">
        <f>_xlfn.STDEV.S(E5:G5)</f>
        <v>1.095342863</v>
      </c>
      <c r="H7" s="5"/>
    </row>
    <row r="9">
      <c r="E9" s="2" t="str">
        <f>B1</f>
        <v>CR</v>
      </c>
      <c r="F9" s="2" t="str">
        <f>E1</f>
        <v>CS</v>
      </c>
    </row>
    <row r="10">
      <c r="D10" s="2" t="str">
        <f>A5</f>
        <v>TAUX_(%)</v>
      </c>
      <c r="E10" s="3">
        <f>B6</f>
        <v>11.96635468</v>
      </c>
      <c r="F10" s="3">
        <f t="shared" ref="F10:F11" si="3">E6</f>
        <v>11.04092906</v>
      </c>
    </row>
    <row r="11">
      <c r="D11" s="2" t="str">
        <f t="shared" ref="D11:E11" si="2">A7</f>
        <v>Ecart-type</v>
      </c>
      <c r="E11" s="3">
        <f t="shared" si="2"/>
        <v>1.035037349</v>
      </c>
      <c r="F11" s="3">
        <f t="shared" si="3"/>
        <v>1.095342863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7:G7"/>
    <mergeCell ref="H7:J7"/>
    <mergeCell ref="B1:D1"/>
    <mergeCell ref="E1:G1"/>
    <mergeCell ref="H1:J1"/>
    <mergeCell ref="B6:D6"/>
    <mergeCell ref="E6:G6"/>
    <mergeCell ref="H6:J6"/>
    <mergeCell ref="B7:D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B1" s="1" t="s">
        <v>32</v>
      </c>
      <c r="E1" s="1" t="s">
        <v>33</v>
      </c>
      <c r="G1" s="6"/>
    </row>
    <row r="2"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</row>
    <row r="3">
      <c r="A3" s="2" t="s">
        <v>43</v>
      </c>
      <c r="B3" s="2">
        <v>0.532</v>
      </c>
      <c r="C3" s="2">
        <v>0.525</v>
      </c>
      <c r="D3" s="2">
        <v>0.574</v>
      </c>
      <c r="E3" s="2">
        <v>0.45</v>
      </c>
      <c r="F3" s="2">
        <v>0.457</v>
      </c>
    </row>
    <row r="4">
      <c r="A4" s="2" t="s">
        <v>44</v>
      </c>
      <c r="B4" s="2">
        <v>62.78</v>
      </c>
      <c r="C4" s="2">
        <v>62.729</v>
      </c>
      <c r="D4" s="2">
        <v>62.732</v>
      </c>
      <c r="E4" s="2">
        <v>63.08</v>
      </c>
      <c r="F4" s="2">
        <v>68.215</v>
      </c>
    </row>
    <row r="5">
      <c r="A5" s="2" t="s">
        <v>45</v>
      </c>
      <c r="B5" s="2">
        <v>63.031</v>
      </c>
      <c r="C5" s="2">
        <v>62.93</v>
      </c>
      <c r="D5" s="2">
        <v>62.933</v>
      </c>
      <c r="E5" s="2">
        <v>63.17</v>
      </c>
      <c r="F5" s="2">
        <v>68.265</v>
      </c>
    </row>
    <row r="6">
      <c r="A6" s="2" t="s">
        <v>46</v>
      </c>
      <c r="B6" s="2">
        <f t="shared" ref="B6:F6" si="1">(B3*0.789)/B3+B4-B5</f>
        <v>0.538</v>
      </c>
      <c r="C6" s="2">
        <f t="shared" si="1"/>
        <v>0.588</v>
      </c>
      <c r="D6" s="2">
        <f t="shared" si="1"/>
        <v>0.588</v>
      </c>
      <c r="E6" s="2">
        <f t="shared" si="1"/>
        <v>0.699</v>
      </c>
      <c r="F6" s="2">
        <f t="shared" si="1"/>
        <v>0.739</v>
      </c>
    </row>
    <row r="7">
      <c r="A7" s="2" t="s">
        <v>37</v>
      </c>
      <c r="B7" s="5">
        <f>AVERAGE(B6:D6)</f>
        <v>0.5713333333</v>
      </c>
      <c r="E7" s="1">
        <f>AVERAGE(E6:F6)</f>
        <v>0.719</v>
      </c>
    </row>
    <row r="8">
      <c r="A8" s="2" t="s">
        <v>38</v>
      </c>
      <c r="B8" s="5">
        <f>_xlfn.STDEV.S(B6:D6)</f>
        <v>0.02886751346</v>
      </c>
      <c r="E8" s="5">
        <f>_xlfn.STDEV.S(E6:F6)</f>
        <v>0.02828427125</v>
      </c>
    </row>
    <row r="10">
      <c r="D10" s="2" t="str">
        <f>B1</f>
        <v>CR</v>
      </c>
      <c r="E10" s="2" t="str">
        <f>E1</f>
        <v>CS</v>
      </c>
    </row>
    <row r="11">
      <c r="C11" s="2" t="str">
        <f>A6</f>
        <v>ρ (g/cm³)</v>
      </c>
      <c r="D11" s="3">
        <f>B7</f>
        <v>0.5713333333</v>
      </c>
      <c r="E11" s="2">
        <f t="shared" ref="E11:E12" si="3">E7</f>
        <v>0.719</v>
      </c>
    </row>
    <row r="12">
      <c r="C12" s="2" t="str">
        <f t="shared" ref="C12:D12" si="2">A8</f>
        <v>ECART-TYPE</v>
      </c>
      <c r="D12" s="3">
        <f t="shared" si="2"/>
        <v>0.02886751346</v>
      </c>
      <c r="E12" s="3">
        <f t="shared" si="3"/>
        <v>0.02828427125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E1:F1"/>
    <mergeCell ref="B7:D7"/>
    <mergeCell ref="E7:F7"/>
    <mergeCell ref="B8:D8"/>
    <mergeCell ref="E8:F8"/>
  </mergeCells>
  <printOptions/>
  <pageMargins bottom="0.75" footer="0.0" header="0.0" left="0.7" right="0.7" top="0.75"/>
  <pageSetup orientation="landscape"/>
  <drawing r:id="rId1"/>
</worksheet>
</file>