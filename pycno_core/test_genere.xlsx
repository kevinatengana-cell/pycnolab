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1\flutterapp\pycnolab\pycno_core\"/>
    </mc:Choice>
  </mc:AlternateContent>
  <xr:revisionPtr revIDLastSave="0" documentId="13_ncr:1_{6BE43E89-6BFB-46AF-B36D-5E28ECA99B1E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DIAMETRE (CR,CS)" sheetId="1" r:id="rId1"/>
    <sheet name="COROUI" sheetId="3" r:id="rId2"/>
    <sheet name="COSOU" sheetId="4" r:id="rId3"/>
    <sheet name="RECCAPITULATIF" sheetId="2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1" i="4" l="1"/>
  <c r="AY20" i="4"/>
  <c r="BO19" i="4"/>
  <c r="AY19" i="4"/>
  <c r="BO18" i="4"/>
  <c r="AY18" i="4"/>
  <c r="BO17" i="4"/>
  <c r="AY17" i="4"/>
  <c r="C17" i="4"/>
  <c r="EI16" i="4"/>
  <c r="CE16" i="4"/>
  <c r="BO16" i="4"/>
  <c r="AY16" i="4"/>
  <c r="K16" i="4"/>
  <c r="C16" i="4"/>
  <c r="EQ15" i="4"/>
  <c r="EI15" i="4"/>
  <c r="CE15" i="4"/>
  <c r="BO15" i="4"/>
  <c r="AY15" i="4"/>
  <c r="K15" i="4"/>
  <c r="C15" i="4"/>
  <c r="EQ14" i="4"/>
  <c r="EI14" i="4"/>
  <c r="DC14" i="4"/>
  <c r="CE14" i="4"/>
  <c r="BW14" i="4"/>
  <c r="BO14" i="4"/>
  <c r="AY14" i="4"/>
  <c r="AQ14" i="4"/>
  <c r="S14" i="4"/>
  <c r="K14" i="4"/>
  <c r="C14" i="4"/>
  <c r="FO13" i="4"/>
  <c r="EQ13" i="4"/>
  <c r="EI13" i="4"/>
  <c r="EA13" i="4"/>
  <c r="DS13" i="4"/>
  <c r="DC13" i="4"/>
  <c r="CM13" i="4"/>
  <c r="CE13" i="4"/>
  <c r="BW13" i="4"/>
  <c r="BO13" i="4"/>
  <c r="AY13" i="4"/>
  <c r="AQ13" i="4"/>
  <c r="AI13" i="4"/>
  <c r="AA13" i="4"/>
  <c r="S13" i="4"/>
  <c r="K13" i="4"/>
  <c r="C13" i="4"/>
  <c r="FO12" i="4"/>
  <c r="FG12" i="4"/>
  <c r="EY12" i="4"/>
  <c r="EQ12" i="4"/>
  <c r="EI12" i="4"/>
  <c r="EA12" i="4"/>
  <c r="DS12" i="4"/>
  <c r="DC12" i="4"/>
  <c r="CM12" i="4"/>
  <c r="CE12" i="4"/>
  <c r="BW12" i="4"/>
  <c r="BO12" i="4"/>
  <c r="AY12" i="4"/>
  <c r="AQ12" i="4"/>
  <c r="AI12" i="4"/>
  <c r="AA12" i="4"/>
  <c r="S12" i="4"/>
  <c r="K12" i="4"/>
  <c r="C12" i="4"/>
  <c r="FO11" i="4"/>
  <c r="FG11" i="4"/>
  <c r="EY11" i="4"/>
  <c r="EQ11" i="4"/>
  <c r="EI11" i="4"/>
  <c r="EA11" i="4"/>
  <c r="DS11" i="4"/>
  <c r="DC11" i="4"/>
  <c r="CU11" i="4"/>
  <c r="CM11" i="4"/>
  <c r="CE11" i="4"/>
  <c r="BW11" i="4"/>
  <c r="BO11" i="4"/>
  <c r="AY11" i="4"/>
  <c r="AQ11" i="4"/>
  <c r="AI11" i="4"/>
  <c r="AA11" i="4"/>
  <c r="S11" i="4"/>
  <c r="K11" i="4"/>
  <c r="C11" i="4"/>
  <c r="FO10" i="4"/>
  <c r="FG10" i="4"/>
  <c r="EY10" i="4"/>
  <c r="EQ10" i="4"/>
  <c r="EI10" i="4"/>
  <c r="EA10" i="4"/>
  <c r="DS10" i="4"/>
  <c r="DK10" i="4"/>
  <c r="DC10" i="4"/>
  <c r="CU10" i="4"/>
  <c r="CM10" i="4"/>
  <c r="CE10" i="4"/>
  <c r="BW10" i="4"/>
  <c r="BO10" i="4"/>
  <c r="BG10" i="4"/>
  <c r="AY10" i="4"/>
  <c r="AQ10" i="4"/>
  <c r="AI10" i="4"/>
  <c r="AA10" i="4"/>
  <c r="S10" i="4"/>
  <c r="K10" i="4"/>
  <c r="C10" i="4"/>
  <c r="FO9" i="4"/>
  <c r="FG9" i="4"/>
  <c r="EY9" i="4"/>
  <c r="EQ9" i="4"/>
  <c r="EI9" i="4"/>
  <c r="EA9" i="4"/>
  <c r="DS9" i="4"/>
  <c r="DK9" i="4"/>
  <c r="DC9" i="4"/>
  <c r="CU9" i="4"/>
  <c r="CM9" i="4"/>
  <c r="CE9" i="4"/>
  <c r="BW9" i="4"/>
  <c r="BO9" i="4"/>
  <c r="BG9" i="4"/>
  <c r="AY9" i="4"/>
  <c r="AQ9" i="4"/>
  <c r="AI9" i="4"/>
  <c r="AA9" i="4"/>
  <c r="S9" i="4"/>
  <c r="K9" i="4"/>
  <c r="C9" i="4"/>
  <c r="FO8" i="4"/>
  <c r="FG8" i="4"/>
  <c r="EY8" i="4"/>
  <c r="EQ8" i="4"/>
  <c r="EI8" i="4"/>
  <c r="EA8" i="4"/>
  <c r="DS8" i="4"/>
  <c r="DK8" i="4"/>
  <c r="DC8" i="4"/>
  <c r="CU8" i="4"/>
  <c r="CM8" i="4"/>
  <c r="CE8" i="4"/>
  <c r="BW8" i="4"/>
  <c r="BO8" i="4"/>
  <c r="BG8" i="4"/>
  <c r="AY8" i="4"/>
  <c r="AQ8" i="4"/>
  <c r="AI8" i="4"/>
  <c r="AA8" i="4"/>
  <c r="S8" i="4"/>
  <c r="K8" i="4"/>
  <c r="C8" i="4"/>
  <c r="FO7" i="4"/>
  <c r="FG7" i="4"/>
  <c r="EY7" i="4"/>
  <c r="EQ7" i="4"/>
  <c r="EI7" i="4"/>
  <c r="EA7" i="4"/>
  <c r="DS7" i="4"/>
  <c r="DK7" i="4"/>
  <c r="DC7" i="4"/>
  <c r="CU7" i="4"/>
  <c r="CM7" i="4"/>
  <c r="CE7" i="4"/>
  <c r="BW7" i="4"/>
  <c r="BO7" i="4"/>
  <c r="BG7" i="4"/>
  <c r="AY7" i="4"/>
  <c r="AQ7" i="4"/>
  <c r="AI7" i="4"/>
  <c r="AA7" i="4"/>
  <c r="S7" i="4"/>
  <c r="K7" i="4"/>
  <c r="C7" i="4"/>
  <c r="FO6" i="4"/>
  <c r="FG6" i="4"/>
  <c r="EY6" i="4"/>
  <c r="EQ6" i="4"/>
  <c r="EI6" i="4"/>
  <c r="EA6" i="4"/>
  <c r="DS6" i="4"/>
  <c r="DK6" i="4"/>
  <c r="DC6" i="4"/>
  <c r="CU6" i="4"/>
  <c r="CM6" i="4"/>
  <c r="CE6" i="4"/>
  <c r="BW6" i="4"/>
  <c r="BO6" i="4"/>
  <c r="BG6" i="4"/>
  <c r="AY6" i="4"/>
  <c r="AQ6" i="4"/>
  <c r="AI6" i="4"/>
  <c r="AA6" i="4"/>
  <c r="S6" i="4"/>
  <c r="K6" i="4"/>
  <c r="C6" i="4"/>
  <c r="FO5" i="4"/>
  <c r="FG5" i="4"/>
  <c r="EY5" i="4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FO4" i="4"/>
  <c r="FG4" i="4"/>
  <c r="EY4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FO3" i="4"/>
  <c r="FG3" i="4"/>
  <c r="EY3" i="4"/>
  <c r="EQ3" i="4"/>
  <c r="EI3" i="4"/>
  <c r="EA3" i="4"/>
  <c r="DS3" i="4"/>
  <c r="DK3" i="4"/>
  <c r="DC3" i="4"/>
  <c r="CU3" i="4"/>
  <c r="CM3" i="4"/>
  <c r="CE3" i="4"/>
  <c r="BW3" i="4"/>
  <c r="BO3" i="4"/>
  <c r="BG3" i="4"/>
  <c r="AY3" i="4"/>
  <c r="AQ3" i="4"/>
  <c r="AI3" i="4"/>
  <c r="AA3" i="4"/>
  <c r="S3" i="4"/>
  <c r="K3" i="4"/>
  <c r="C3" i="4"/>
  <c r="FO2" i="4"/>
  <c r="FG2" i="4"/>
  <c r="EY2" i="4"/>
  <c r="EQ2" i="4"/>
  <c r="EI2" i="4"/>
  <c r="EA2" i="4"/>
  <c r="DS2" i="4"/>
  <c r="DK2" i="4"/>
  <c r="DC2" i="4"/>
  <c r="CU2" i="4"/>
  <c r="CM2" i="4"/>
  <c r="CE2" i="4"/>
  <c r="BW2" i="4"/>
  <c r="BO2" i="4"/>
  <c r="BG2" i="4"/>
  <c r="AY2" i="4"/>
  <c r="AQ2" i="4"/>
  <c r="AI2" i="4"/>
  <c r="AA2" i="4"/>
  <c r="S2" i="4"/>
  <c r="K2" i="4"/>
  <c r="C2" i="4"/>
  <c r="DK22" i="3"/>
  <c r="DK21" i="3"/>
  <c r="DK20" i="3"/>
  <c r="BW20" i="3"/>
  <c r="BG20" i="3"/>
  <c r="DK19" i="3"/>
  <c r="BW19" i="3"/>
  <c r="BG19" i="3"/>
  <c r="DS18" i="3"/>
  <c r="DK18" i="3"/>
  <c r="CU18" i="3"/>
  <c r="BW18" i="3"/>
  <c r="BG18" i="3"/>
  <c r="DS17" i="3"/>
  <c r="DK17" i="3"/>
  <c r="CU17" i="3"/>
  <c r="BW17" i="3"/>
  <c r="BG17" i="3"/>
  <c r="EA16" i="3"/>
  <c r="DS16" i="3"/>
  <c r="DK16" i="3"/>
  <c r="CU16" i="3"/>
  <c r="BW16" i="3"/>
  <c r="BG16" i="3"/>
  <c r="EA15" i="3"/>
  <c r="DS15" i="3"/>
  <c r="DK15" i="3"/>
  <c r="CU15" i="3"/>
  <c r="BW15" i="3"/>
  <c r="BG15" i="3"/>
  <c r="AQ15" i="3"/>
  <c r="EA14" i="3"/>
  <c r="DS14" i="3"/>
  <c r="DK14" i="3"/>
  <c r="CU14" i="3"/>
  <c r="BW14" i="3"/>
  <c r="BG14" i="3"/>
  <c r="AY14" i="3"/>
  <c r="AQ14" i="3"/>
  <c r="AA14" i="3"/>
  <c r="S14" i="3"/>
  <c r="FO13" i="3"/>
  <c r="EA13" i="3"/>
  <c r="DS13" i="3"/>
  <c r="DK13" i="3"/>
  <c r="DC13" i="3"/>
  <c r="CU13" i="3"/>
  <c r="CE13" i="3"/>
  <c r="BW13" i="3"/>
  <c r="BG13" i="3"/>
  <c r="AY13" i="3"/>
  <c r="AQ13" i="3"/>
  <c r="AA13" i="3"/>
  <c r="S13" i="3"/>
  <c r="FO12" i="3"/>
  <c r="EA12" i="3"/>
  <c r="DS12" i="3"/>
  <c r="DK12" i="3"/>
  <c r="DC12" i="3"/>
  <c r="CU12" i="3"/>
  <c r="CE12" i="3"/>
  <c r="BW12" i="3"/>
  <c r="BG12" i="3"/>
  <c r="AY12" i="3"/>
  <c r="AQ12" i="3"/>
  <c r="AI12" i="3"/>
  <c r="AA12" i="3"/>
  <c r="S12" i="3"/>
  <c r="FO11" i="3"/>
  <c r="FG11" i="3"/>
  <c r="EA11" i="3"/>
  <c r="DS11" i="3"/>
  <c r="DK11" i="3"/>
  <c r="DC11" i="3"/>
  <c r="CU11" i="3"/>
  <c r="CM11" i="3"/>
  <c r="CE11" i="3"/>
  <c r="BW11" i="3"/>
  <c r="BO11" i="3"/>
  <c r="BG11" i="3"/>
  <c r="AY11" i="3"/>
  <c r="AQ11" i="3"/>
  <c r="AI11" i="3"/>
  <c r="AA11" i="3"/>
  <c r="S11" i="3"/>
  <c r="K11" i="3"/>
  <c r="FO10" i="3"/>
  <c r="FG10" i="3"/>
  <c r="EQ10" i="3"/>
  <c r="EI10" i="3"/>
  <c r="EA10" i="3"/>
  <c r="DS10" i="3"/>
  <c r="DK10" i="3"/>
  <c r="DC10" i="3"/>
  <c r="CU10" i="3"/>
  <c r="CM10" i="3"/>
  <c r="CE10" i="3"/>
  <c r="BW10" i="3"/>
  <c r="BO10" i="3"/>
  <c r="BG10" i="3"/>
  <c r="AY10" i="3"/>
  <c r="AQ10" i="3"/>
  <c r="AI10" i="3"/>
  <c r="AA10" i="3"/>
  <c r="S10" i="3"/>
  <c r="K10" i="3"/>
  <c r="C10" i="3"/>
  <c r="FO9" i="3"/>
  <c r="FG9" i="3"/>
  <c r="EY9" i="3"/>
  <c r="EQ9" i="3"/>
  <c r="EI9" i="3"/>
  <c r="EA9" i="3"/>
  <c r="DS9" i="3"/>
  <c r="DK9" i="3"/>
  <c r="DC9" i="3"/>
  <c r="CU9" i="3"/>
  <c r="CM9" i="3"/>
  <c r="CE9" i="3"/>
  <c r="BW9" i="3"/>
  <c r="BO9" i="3"/>
  <c r="BG9" i="3"/>
  <c r="AY9" i="3"/>
  <c r="AQ9" i="3"/>
  <c r="AI9" i="3"/>
  <c r="AA9" i="3"/>
  <c r="S9" i="3"/>
  <c r="K9" i="3"/>
  <c r="C9" i="3"/>
  <c r="FO8" i="3"/>
  <c r="FG8" i="3"/>
  <c r="EY8" i="3"/>
  <c r="EQ8" i="3"/>
  <c r="EI8" i="3"/>
  <c r="EA8" i="3"/>
  <c r="DS8" i="3"/>
  <c r="DK8" i="3"/>
  <c r="DC8" i="3"/>
  <c r="CU8" i="3"/>
  <c r="CM8" i="3"/>
  <c r="CE8" i="3"/>
  <c r="BW8" i="3"/>
  <c r="BO8" i="3"/>
  <c r="BG8" i="3"/>
  <c r="AY8" i="3"/>
  <c r="AQ8" i="3"/>
  <c r="AI8" i="3"/>
  <c r="AA8" i="3"/>
  <c r="S8" i="3"/>
  <c r="K8" i="3"/>
  <c r="C8" i="3"/>
  <c r="FO7" i="3"/>
  <c r="FG7" i="3"/>
  <c r="EY7" i="3"/>
  <c r="EQ7" i="3"/>
  <c r="EI7" i="3"/>
  <c r="EA7" i="3"/>
  <c r="DS7" i="3"/>
  <c r="DK7" i="3"/>
  <c r="DC7" i="3"/>
  <c r="CU7" i="3"/>
  <c r="CM7" i="3"/>
  <c r="CE7" i="3"/>
  <c r="BW7" i="3"/>
  <c r="BO7" i="3"/>
  <c r="BG7" i="3"/>
  <c r="AY7" i="3"/>
  <c r="AQ7" i="3"/>
  <c r="AI7" i="3"/>
  <c r="AA7" i="3"/>
  <c r="S7" i="3"/>
  <c r="K7" i="3"/>
  <c r="C7" i="3"/>
  <c r="FO6" i="3"/>
  <c r="FG6" i="3"/>
  <c r="EY6" i="3"/>
  <c r="EQ6" i="3"/>
  <c r="EI6" i="3"/>
  <c r="EA6" i="3"/>
  <c r="DS6" i="3"/>
  <c r="DK6" i="3"/>
  <c r="DC6" i="3"/>
  <c r="CU6" i="3"/>
  <c r="CM6" i="3"/>
  <c r="CE6" i="3"/>
  <c r="BW6" i="3"/>
  <c r="BO6" i="3"/>
  <c r="BG6" i="3"/>
  <c r="AY6" i="3"/>
  <c r="AQ6" i="3"/>
  <c r="AI6" i="3"/>
  <c r="AA6" i="3"/>
  <c r="S6" i="3"/>
  <c r="K6" i="3"/>
  <c r="C6" i="3"/>
  <c r="FO5" i="3"/>
  <c r="FG5" i="3"/>
  <c r="EY5" i="3"/>
  <c r="EQ5" i="3"/>
  <c r="EI5" i="3"/>
  <c r="EA5" i="3"/>
  <c r="DS5" i="3"/>
  <c r="DK5" i="3"/>
  <c r="DC5" i="3"/>
  <c r="CU5" i="3"/>
  <c r="CM5" i="3"/>
  <c r="CE5" i="3"/>
  <c r="BW5" i="3"/>
  <c r="BO5" i="3"/>
  <c r="BG5" i="3"/>
  <c r="AY5" i="3"/>
  <c r="AQ5" i="3"/>
  <c r="AI5" i="3"/>
  <c r="AA5" i="3"/>
  <c r="S5" i="3"/>
  <c r="K5" i="3"/>
  <c r="C5" i="3"/>
  <c r="FO4" i="3"/>
  <c r="FG4" i="3"/>
  <c r="EY4" i="3"/>
  <c r="EQ4" i="3"/>
  <c r="EI4" i="3"/>
  <c r="EA4" i="3"/>
  <c r="DS4" i="3"/>
  <c r="DK4" i="3"/>
  <c r="DC4" i="3"/>
  <c r="CU4" i="3"/>
  <c r="CM4" i="3"/>
  <c r="CE4" i="3"/>
  <c r="BW4" i="3"/>
  <c r="BO4" i="3"/>
  <c r="BG4" i="3"/>
  <c r="AY4" i="3"/>
  <c r="AQ4" i="3"/>
  <c r="AI4" i="3"/>
  <c r="AA4" i="3"/>
  <c r="S4" i="3"/>
  <c r="K4" i="3"/>
  <c r="C4" i="3"/>
  <c r="FO3" i="3"/>
  <c r="FG3" i="3"/>
  <c r="EY3" i="3"/>
  <c r="EQ3" i="3"/>
  <c r="EI3" i="3"/>
  <c r="EA3" i="3"/>
  <c r="DS3" i="3"/>
  <c r="DK3" i="3"/>
  <c r="DC3" i="3"/>
  <c r="CU3" i="3"/>
  <c r="CM3" i="3"/>
  <c r="CE3" i="3"/>
  <c r="BW3" i="3"/>
  <c r="BO3" i="3"/>
  <c r="BG3" i="3"/>
  <c r="AY3" i="3"/>
  <c r="AQ3" i="3"/>
  <c r="AI3" i="3"/>
  <c r="AA3" i="3"/>
  <c r="S3" i="3"/>
  <c r="K3" i="3"/>
  <c r="C3" i="3"/>
  <c r="FO2" i="3"/>
  <c r="FG2" i="3"/>
  <c r="EY2" i="3"/>
  <c r="EQ2" i="3"/>
  <c r="EI2" i="3"/>
  <c r="EA2" i="3"/>
  <c r="DS2" i="3"/>
  <c r="DK2" i="3"/>
  <c r="DC2" i="3"/>
  <c r="CU2" i="3"/>
  <c r="CM2" i="3"/>
  <c r="CE2" i="3"/>
  <c r="BW2" i="3"/>
  <c r="BO2" i="3"/>
  <c r="BG2" i="3"/>
  <c r="AY2" i="3"/>
  <c r="AQ2" i="3"/>
  <c r="AI2" i="3"/>
  <c r="AA2" i="3"/>
  <c r="S2" i="3"/>
  <c r="K2" i="3"/>
  <c r="C2" i="3"/>
  <c r="M24" i="1"/>
  <c r="N24" i="1" s="1"/>
  <c r="E24" i="1"/>
  <c r="F24" i="1" s="1"/>
  <c r="M23" i="1"/>
  <c r="N23" i="1" s="1"/>
  <c r="E23" i="1"/>
  <c r="F23" i="1" s="1"/>
  <c r="M22" i="1"/>
  <c r="N22" i="1" s="1"/>
  <c r="E22" i="1"/>
  <c r="F22" i="1" s="1"/>
  <c r="M21" i="1"/>
  <c r="N21" i="1" s="1"/>
  <c r="E21" i="1"/>
  <c r="F21" i="1" s="1"/>
  <c r="M20" i="1"/>
  <c r="N20" i="1" s="1"/>
  <c r="E20" i="1"/>
  <c r="F20" i="1" s="1"/>
  <c r="M19" i="1"/>
  <c r="N19" i="1" s="1"/>
  <c r="E19" i="1"/>
  <c r="F19" i="1" s="1"/>
  <c r="M18" i="1"/>
  <c r="N18" i="1" s="1"/>
  <c r="E18" i="1"/>
  <c r="F18" i="1" s="1"/>
  <c r="M17" i="1"/>
  <c r="N17" i="1" s="1"/>
  <c r="E17" i="1"/>
  <c r="F17" i="1" s="1"/>
  <c r="M16" i="1"/>
  <c r="N16" i="1" s="1"/>
  <c r="E16" i="1"/>
  <c r="F16" i="1" s="1"/>
  <c r="M15" i="1"/>
  <c r="N15" i="1" s="1"/>
  <c r="E15" i="1"/>
  <c r="F15" i="1" s="1"/>
  <c r="M14" i="1"/>
  <c r="N14" i="1" s="1"/>
  <c r="E14" i="1"/>
  <c r="F14" i="1" s="1"/>
  <c r="M13" i="1"/>
  <c r="N13" i="1" s="1"/>
  <c r="E13" i="1"/>
  <c r="F13" i="1" s="1"/>
  <c r="M12" i="1"/>
  <c r="N12" i="1" s="1"/>
  <c r="E12" i="1"/>
  <c r="F12" i="1" s="1"/>
  <c r="M11" i="1"/>
  <c r="N11" i="1" s="1"/>
  <c r="E11" i="1"/>
  <c r="F11" i="1" s="1"/>
  <c r="M10" i="1"/>
  <c r="N10" i="1" s="1"/>
  <c r="E10" i="1"/>
  <c r="F10" i="1" s="1"/>
  <c r="M9" i="1"/>
  <c r="N9" i="1" s="1"/>
  <c r="E9" i="1"/>
  <c r="M8" i="1"/>
  <c r="N8" i="1" s="1"/>
  <c r="E8" i="1"/>
  <c r="F8" i="1" s="1"/>
  <c r="M7" i="1"/>
  <c r="N7" i="1" s="1"/>
  <c r="E7" i="1"/>
  <c r="F7" i="1" s="1"/>
  <c r="M6" i="1"/>
  <c r="N6" i="1" s="1"/>
  <c r="E6" i="1"/>
  <c r="F6" i="1" s="1"/>
  <c r="M5" i="1"/>
  <c r="N5" i="1" s="1"/>
  <c r="E5" i="1"/>
  <c r="F5" i="1" s="1"/>
  <c r="N4" i="1"/>
  <c r="M4" i="1"/>
  <c r="E4" i="1"/>
  <c r="F4" i="1" s="1"/>
  <c r="M3" i="1"/>
  <c r="N3" i="1" s="1"/>
  <c r="E3" i="1"/>
  <c r="F3" i="1" s="1"/>
  <c r="G3" i="1" l="1"/>
  <c r="O3" i="1"/>
  <c r="FH11" i="3"/>
  <c r="FH2" i="3"/>
  <c r="FH8" i="3"/>
  <c r="FH6" i="3"/>
  <c r="FH4" i="3"/>
  <c r="FH10" i="3"/>
  <c r="FH9" i="3"/>
  <c r="FH7" i="3"/>
  <c r="FH5" i="3"/>
  <c r="FH3" i="3"/>
  <c r="DT18" i="3"/>
  <c r="DT17" i="3"/>
  <c r="DT15" i="3"/>
  <c r="DT16" i="3"/>
  <c r="DT9" i="3"/>
  <c r="DT7" i="3"/>
  <c r="DT5" i="3"/>
  <c r="DT3" i="3"/>
  <c r="DT2" i="3"/>
  <c r="DT13" i="3"/>
  <c r="DT11" i="3"/>
  <c r="DT10" i="3"/>
  <c r="DT8" i="3"/>
  <c r="DT6" i="3"/>
  <c r="DT4" i="3"/>
  <c r="DT14" i="3"/>
  <c r="DT12" i="3"/>
  <c r="L2" i="3"/>
  <c r="L11" i="3"/>
  <c r="L10" i="3"/>
  <c r="L8" i="3"/>
  <c r="L6" i="3"/>
  <c r="L4" i="3"/>
  <c r="L9" i="3"/>
  <c r="L7" i="3"/>
  <c r="L5" i="3"/>
  <c r="L3" i="3"/>
  <c r="BX17" i="3"/>
  <c r="BX15" i="3"/>
  <c r="BX20" i="3"/>
  <c r="BX18" i="3"/>
  <c r="BX2" i="3"/>
  <c r="BX16" i="3"/>
  <c r="BX12" i="3"/>
  <c r="BX11" i="3"/>
  <c r="BX10" i="3"/>
  <c r="BX8" i="3"/>
  <c r="BX6" i="3"/>
  <c r="BX4" i="3"/>
  <c r="BX19" i="3"/>
  <c r="BX14" i="3"/>
  <c r="BX9" i="3"/>
  <c r="BX7" i="3"/>
  <c r="BX5" i="3"/>
  <c r="BX3" i="3"/>
  <c r="BX13" i="3"/>
  <c r="AJ12" i="3"/>
  <c r="AJ2" i="3"/>
  <c r="AJ11" i="3"/>
  <c r="AJ10" i="3"/>
  <c r="AJ8" i="3"/>
  <c r="AJ6" i="3"/>
  <c r="AJ4" i="3"/>
  <c r="AJ9" i="3"/>
  <c r="AJ7" i="3"/>
  <c r="AJ5" i="3"/>
  <c r="AJ3" i="3"/>
  <c r="CV16" i="3"/>
  <c r="CV17" i="3"/>
  <c r="CV15" i="3"/>
  <c r="CV2" i="3"/>
  <c r="CV18" i="3"/>
  <c r="CV14" i="3"/>
  <c r="CV13" i="3"/>
  <c r="CV11" i="3"/>
  <c r="CV10" i="3"/>
  <c r="CV8" i="3"/>
  <c r="CV6" i="3"/>
  <c r="CV4" i="3"/>
  <c r="CV12" i="3"/>
  <c r="CV9" i="3"/>
  <c r="CV7" i="3"/>
  <c r="CV5" i="3"/>
  <c r="CV3" i="3"/>
  <c r="BH20" i="3"/>
  <c r="BH18" i="3"/>
  <c r="BH17" i="3"/>
  <c r="BH15" i="3"/>
  <c r="BH19" i="3"/>
  <c r="BH16" i="3"/>
  <c r="BH13" i="3"/>
  <c r="BH9" i="3"/>
  <c r="BH7" i="3"/>
  <c r="BH5" i="3"/>
  <c r="BH3" i="3"/>
  <c r="BH2" i="3"/>
  <c r="BH12" i="3"/>
  <c r="BH11" i="3"/>
  <c r="BH10" i="3"/>
  <c r="BH8" i="3"/>
  <c r="BH6" i="3"/>
  <c r="BH4" i="3"/>
  <c r="BH14" i="3"/>
  <c r="T13" i="3"/>
  <c r="T9" i="3"/>
  <c r="T7" i="3"/>
  <c r="T5" i="3"/>
  <c r="T3" i="3"/>
  <c r="T2" i="3"/>
  <c r="T12" i="3"/>
  <c r="T14" i="3"/>
  <c r="T11" i="3"/>
  <c r="T10" i="3"/>
  <c r="T8" i="3"/>
  <c r="T6" i="3"/>
  <c r="T4" i="3"/>
  <c r="CF9" i="3"/>
  <c r="CF7" i="3"/>
  <c r="CF5" i="3"/>
  <c r="CF3" i="3"/>
  <c r="CF2" i="3"/>
  <c r="CF13" i="3"/>
  <c r="CF12" i="3"/>
  <c r="CF11" i="3"/>
  <c r="CF10" i="3"/>
  <c r="CF8" i="3"/>
  <c r="CF6" i="3"/>
  <c r="CF4" i="3"/>
  <c r="ER9" i="3"/>
  <c r="ER7" i="3"/>
  <c r="ER5" i="3"/>
  <c r="ER3" i="3"/>
  <c r="ER2" i="3"/>
  <c r="ER10" i="3"/>
  <c r="ER8" i="3"/>
  <c r="ER6" i="3"/>
  <c r="ER4" i="3"/>
  <c r="FP13" i="3"/>
  <c r="FP8" i="3"/>
  <c r="FP6" i="3"/>
  <c r="FP4" i="3"/>
  <c r="FP12" i="3"/>
  <c r="FP10" i="3"/>
  <c r="FP2" i="3"/>
  <c r="FP9" i="3"/>
  <c r="FP7" i="3"/>
  <c r="FP5" i="3"/>
  <c r="FP3" i="3"/>
  <c r="FP11" i="3"/>
  <c r="EB15" i="3"/>
  <c r="EB13" i="3"/>
  <c r="EB11" i="3"/>
  <c r="EB10" i="3"/>
  <c r="EB8" i="3"/>
  <c r="EB6" i="3"/>
  <c r="EB4" i="3"/>
  <c r="EB16" i="3"/>
  <c r="EB14" i="3"/>
  <c r="EB12" i="3"/>
  <c r="EB2" i="3"/>
  <c r="EB9" i="3"/>
  <c r="EB7" i="3"/>
  <c r="EB5" i="3"/>
  <c r="EB3" i="3"/>
  <c r="AR11" i="3"/>
  <c r="AR10" i="3"/>
  <c r="AR8" i="3"/>
  <c r="AR6" i="3"/>
  <c r="AR4" i="3"/>
  <c r="AR15" i="3"/>
  <c r="AR14" i="3"/>
  <c r="AR2" i="3"/>
  <c r="AR13" i="3"/>
  <c r="AR9" i="3"/>
  <c r="AR7" i="3"/>
  <c r="AR5" i="3"/>
  <c r="AR3" i="3"/>
  <c r="AR12" i="3"/>
  <c r="DD13" i="3"/>
  <c r="DD11" i="3"/>
  <c r="DD10" i="3"/>
  <c r="DD8" i="3"/>
  <c r="DD6" i="3"/>
  <c r="DD4" i="3"/>
  <c r="DD12" i="3"/>
  <c r="DD2" i="3"/>
  <c r="DD9" i="3"/>
  <c r="DD7" i="3"/>
  <c r="DD5" i="3"/>
  <c r="DD3" i="3"/>
  <c r="BP11" i="3"/>
  <c r="BP10" i="3"/>
  <c r="BP8" i="3"/>
  <c r="BP6" i="3"/>
  <c r="BP4" i="3"/>
  <c r="BP2" i="3"/>
  <c r="BP9" i="3"/>
  <c r="BP7" i="3"/>
  <c r="BP5" i="3"/>
  <c r="BP3" i="3"/>
  <c r="D17" i="4"/>
  <c r="D14" i="4"/>
  <c r="D12" i="4"/>
  <c r="D11" i="4"/>
  <c r="D9" i="4"/>
  <c r="D7" i="4"/>
  <c r="D5" i="4"/>
  <c r="D3" i="4"/>
  <c r="D15" i="4"/>
  <c r="D13" i="4"/>
  <c r="D16" i="4"/>
  <c r="D10" i="4"/>
  <c r="D8" i="4"/>
  <c r="D6" i="4"/>
  <c r="D4" i="4"/>
  <c r="D2" i="4"/>
  <c r="AB9" i="3"/>
  <c r="AB7" i="3"/>
  <c r="AB5" i="3"/>
  <c r="AB3" i="3"/>
  <c r="AB12" i="3"/>
  <c r="AB14" i="3"/>
  <c r="AB11" i="3"/>
  <c r="AB10" i="3"/>
  <c r="AB8" i="3"/>
  <c r="AB6" i="3"/>
  <c r="AB4" i="3"/>
  <c r="AB2" i="3"/>
  <c r="AB13" i="3"/>
  <c r="CN9" i="3"/>
  <c r="CN7" i="3"/>
  <c r="CN5" i="3"/>
  <c r="CN3" i="3"/>
  <c r="CN11" i="3"/>
  <c r="CN10" i="3"/>
  <c r="CN8" i="3"/>
  <c r="CN6" i="3"/>
  <c r="CN4" i="3"/>
  <c r="CN2" i="3"/>
  <c r="EZ9" i="3"/>
  <c r="EZ7" i="3"/>
  <c r="EZ5" i="3"/>
  <c r="EZ3" i="3"/>
  <c r="EZ8" i="3"/>
  <c r="EZ6" i="3"/>
  <c r="EZ4" i="3"/>
  <c r="EZ2" i="3"/>
  <c r="DL22" i="3"/>
  <c r="DL16" i="3"/>
  <c r="DL21" i="3"/>
  <c r="DL19" i="3"/>
  <c r="DL18" i="3"/>
  <c r="DL20" i="3"/>
  <c r="DL14" i="3"/>
  <c r="DL12" i="3"/>
  <c r="DL9" i="3"/>
  <c r="DL7" i="3"/>
  <c r="DL5" i="3"/>
  <c r="DL3" i="3"/>
  <c r="DL15" i="3"/>
  <c r="DL17" i="3"/>
  <c r="DL13" i="3"/>
  <c r="DL11" i="3"/>
  <c r="DL10" i="3"/>
  <c r="DL8" i="3"/>
  <c r="DL6" i="3"/>
  <c r="DL4" i="3"/>
  <c r="DL2" i="3"/>
  <c r="EJ2" i="3"/>
  <c r="EJ10" i="3"/>
  <c r="EJ8" i="3"/>
  <c r="EJ6" i="3"/>
  <c r="EJ4" i="3"/>
  <c r="EJ9" i="3"/>
  <c r="EJ7" i="3"/>
  <c r="EJ5" i="3"/>
  <c r="EJ3" i="3"/>
  <c r="D10" i="3"/>
  <c r="D8" i="3"/>
  <c r="D6" i="3"/>
  <c r="D4" i="3"/>
  <c r="D2" i="3"/>
  <c r="D9" i="3"/>
  <c r="D7" i="3"/>
  <c r="D5" i="3"/>
  <c r="D3" i="3"/>
  <c r="DT12" i="4"/>
  <c r="DT13" i="4"/>
  <c r="DT9" i="4"/>
  <c r="DT7" i="4"/>
  <c r="DT5" i="4"/>
  <c r="DT3" i="4"/>
  <c r="DT2" i="4"/>
  <c r="DT11" i="4"/>
  <c r="DT10" i="4"/>
  <c r="DT8" i="4"/>
  <c r="DT6" i="4"/>
  <c r="DT4" i="4"/>
  <c r="F9" i="1"/>
  <c r="AB12" i="4"/>
  <c r="AB11" i="4"/>
  <c r="AB9" i="4"/>
  <c r="AB7" i="4"/>
  <c r="AB5" i="4"/>
  <c r="AB3" i="4"/>
  <c r="AB13" i="4"/>
  <c r="AB10" i="4"/>
  <c r="AB8" i="4"/>
  <c r="AB6" i="4"/>
  <c r="AB4" i="4"/>
  <c r="AB2" i="4"/>
  <c r="DD14" i="4"/>
  <c r="DD11" i="4"/>
  <c r="DD12" i="4"/>
  <c r="DD10" i="4"/>
  <c r="DD8" i="4"/>
  <c r="DD6" i="4"/>
  <c r="DD4" i="4"/>
  <c r="DD13" i="4"/>
  <c r="DD2" i="4"/>
  <c r="DD9" i="4"/>
  <c r="DD7" i="4"/>
  <c r="DD5" i="4"/>
  <c r="DD3" i="4"/>
  <c r="AR13" i="4"/>
  <c r="AR14" i="4"/>
  <c r="AR10" i="4"/>
  <c r="AR8" i="4"/>
  <c r="AR6" i="4"/>
  <c r="AR4" i="4"/>
  <c r="AR2" i="4"/>
  <c r="AR12" i="4"/>
  <c r="AR11" i="4"/>
  <c r="AR9" i="4"/>
  <c r="AR7" i="4"/>
  <c r="AR5" i="4"/>
  <c r="AR3" i="4"/>
  <c r="EZ12" i="4"/>
  <c r="EZ9" i="4"/>
  <c r="EZ7" i="4"/>
  <c r="EZ5" i="4"/>
  <c r="EZ3" i="4"/>
  <c r="EZ11" i="4"/>
  <c r="EZ10" i="4"/>
  <c r="EZ8" i="4"/>
  <c r="EZ6" i="4"/>
  <c r="EZ4" i="4"/>
  <c r="EZ2" i="4"/>
  <c r="FH9" i="4"/>
  <c r="FH7" i="4"/>
  <c r="FH5" i="4"/>
  <c r="FH3" i="4"/>
  <c r="FH2" i="4"/>
  <c r="FH11" i="4"/>
  <c r="FH10" i="4"/>
  <c r="FH8" i="4"/>
  <c r="FH6" i="4"/>
  <c r="FH4" i="4"/>
  <c r="FH12" i="4"/>
  <c r="L15" i="4"/>
  <c r="L13" i="4"/>
  <c r="L2" i="4"/>
  <c r="L16" i="4"/>
  <c r="L10" i="4"/>
  <c r="L8" i="4"/>
  <c r="L6" i="4"/>
  <c r="L4" i="4"/>
  <c r="L14" i="4"/>
  <c r="L12" i="4"/>
  <c r="L11" i="4"/>
  <c r="L9" i="4"/>
  <c r="L7" i="4"/>
  <c r="L5" i="4"/>
  <c r="L3" i="4"/>
  <c r="BX12" i="4"/>
  <c r="BX11" i="4"/>
  <c r="BX2" i="4"/>
  <c r="BX13" i="4"/>
  <c r="BX10" i="4"/>
  <c r="BX8" i="4"/>
  <c r="BX6" i="4"/>
  <c r="BX4" i="4"/>
  <c r="BX14" i="4"/>
  <c r="BX9" i="4"/>
  <c r="BX7" i="4"/>
  <c r="BX5" i="4"/>
  <c r="BX3" i="4"/>
  <c r="EJ15" i="4"/>
  <c r="EJ2" i="4"/>
  <c r="EJ16" i="4"/>
  <c r="EJ11" i="4"/>
  <c r="EJ10" i="4"/>
  <c r="EJ8" i="4"/>
  <c r="EJ6" i="4"/>
  <c r="EJ4" i="4"/>
  <c r="EJ12" i="4"/>
  <c r="EJ14" i="4"/>
  <c r="EJ13" i="4"/>
  <c r="EJ9" i="4"/>
  <c r="EJ7" i="4"/>
  <c r="EJ5" i="4"/>
  <c r="EJ3" i="4"/>
  <c r="T10" i="4"/>
  <c r="T8" i="4"/>
  <c r="T6" i="4"/>
  <c r="T4" i="4"/>
  <c r="T14" i="4"/>
  <c r="T12" i="4"/>
  <c r="T11" i="4"/>
  <c r="T9" i="4"/>
  <c r="T7" i="4"/>
  <c r="T5" i="4"/>
  <c r="T3" i="4"/>
  <c r="T13" i="4"/>
  <c r="T2" i="4"/>
  <c r="BP18" i="4"/>
  <c r="BP9" i="4"/>
  <c r="BP7" i="4"/>
  <c r="BP5" i="4"/>
  <c r="BP3" i="4"/>
  <c r="BP12" i="4"/>
  <c r="BP11" i="4"/>
  <c r="BP19" i="4"/>
  <c r="BP17" i="4"/>
  <c r="BP15" i="4"/>
  <c r="BP13" i="4"/>
  <c r="BP10" i="4"/>
  <c r="BP8" i="4"/>
  <c r="BP6" i="4"/>
  <c r="BP4" i="4"/>
  <c r="BP16" i="4"/>
  <c r="BP14" i="4"/>
  <c r="BP2" i="4"/>
  <c r="DL10" i="4"/>
  <c r="DL8" i="4"/>
  <c r="DL6" i="4"/>
  <c r="DL4" i="4"/>
  <c r="DL2" i="4"/>
  <c r="DL9" i="4"/>
  <c r="DL7" i="4"/>
  <c r="DL5" i="4"/>
  <c r="DL3" i="4"/>
  <c r="CN9" i="4"/>
  <c r="CN7" i="4"/>
  <c r="CN5" i="4"/>
  <c r="CN3" i="4"/>
  <c r="CN12" i="4"/>
  <c r="CN11" i="4"/>
  <c r="CN13" i="4"/>
  <c r="CN10" i="4"/>
  <c r="CN8" i="4"/>
  <c r="CN6" i="4"/>
  <c r="CN4" i="4"/>
  <c r="CN2" i="4"/>
  <c r="AJ12" i="4"/>
  <c r="AJ11" i="4"/>
  <c r="AJ9" i="4"/>
  <c r="AJ7" i="4"/>
  <c r="AJ5" i="4"/>
  <c r="AJ3" i="4"/>
  <c r="AJ13" i="4"/>
  <c r="AJ2" i="4"/>
  <c r="AJ10" i="4"/>
  <c r="AJ8" i="4"/>
  <c r="AJ6" i="4"/>
  <c r="AJ4" i="4"/>
  <c r="CF13" i="4"/>
  <c r="CF10" i="4"/>
  <c r="CF8" i="4"/>
  <c r="CF6" i="4"/>
  <c r="CF4" i="4"/>
  <c r="CF15" i="4"/>
  <c r="CF14" i="4"/>
  <c r="CF16" i="4"/>
  <c r="CF9" i="4"/>
  <c r="CF7" i="4"/>
  <c r="CF5" i="4"/>
  <c r="CF3" i="4"/>
  <c r="CF2" i="4"/>
  <c r="CF12" i="4"/>
  <c r="CF11" i="4"/>
  <c r="EB13" i="4"/>
  <c r="EB9" i="4"/>
  <c r="EB7" i="4"/>
  <c r="EB5" i="4"/>
  <c r="EB3" i="4"/>
  <c r="EB11" i="4"/>
  <c r="EB10" i="4"/>
  <c r="EB8" i="4"/>
  <c r="EB6" i="4"/>
  <c r="EB4" i="4"/>
  <c r="EB12" i="4"/>
  <c r="EB2" i="4"/>
  <c r="BH9" i="4"/>
  <c r="BH7" i="4"/>
  <c r="BH5" i="4"/>
  <c r="BH3" i="4"/>
  <c r="BH2" i="4"/>
  <c r="BH10" i="4"/>
  <c r="BH8" i="4"/>
  <c r="BH6" i="4"/>
  <c r="BH4" i="4"/>
  <c r="FP13" i="4"/>
  <c r="FP11" i="4"/>
  <c r="FP10" i="4"/>
  <c r="FP8" i="4"/>
  <c r="FP6" i="4"/>
  <c r="FP4" i="4"/>
  <c r="FP12" i="4"/>
  <c r="FP2" i="4"/>
  <c r="FP9" i="4"/>
  <c r="FP7" i="4"/>
  <c r="FP5" i="4"/>
  <c r="FP3" i="4"/>
  <c r="AZ21" i="4"/>
  <c r="AZ16" i="4"/>
  <c r="AZ14" i="4"/>
  <c r="AZ10" i="4"/>
  <c r="AZ8" i="4"/>
  <c r="AZ6" i="4"/>
  <c r="AZ4" i="4"/>
  <c r="AZ2" i="4"/>
  <c r="AZ20" i="4"/>
  <c r="AZ18" i="4"/>
  <c r="AZ12" i="4"/>
  <c r="AZ11" i="4"/>
  <c r="AZ9" i="4"/>
  <c r="AZ7" i="4"/>
  <c r="AZ5" i="4"/>
  <c r="AZ3" i="4"/>
  <c r="AZ19" i="4"/>
  <c r="AZ17" i="4"/>
  <c r="AZ15" i="4"/>
  <c r="AZ13" i="4"/>
  <c r="CV9" i="4"/>
  <c r="CV7" i="4"/>
  <c r="CV5" i="4"/>
  <c r="CV3" i="4"/>
  <c r="CV11" i="4"/>
  <c r="CV2" i="4"/>
  <c r="CV10" i="4"/>
  <c r="CV8" i="4"/>
  <c r="CV6" i="4"/>
  <c r="CV4" i="4"/>
  <c r="ER11" i="4"/>
  <c r="ER10" i="4"/>
  <c r="ER8" i="4"/>
  <c r="ER6" i="4"/>
  <c r="ER4" i="4"/>
  <c r="ER12" i="4"/>
  <c r="ER14" i="4"/>
  <c r="ER13" i="4"/>
  <c r="ER9" i="4"/>
  <c r="ER7" i="4"/>
  <c r="ER5" i="4"/>
  <c r="ER3" i="4"/>
  <c r="ER2" i="4"/>
  <c r="ER15" i="4"/>
  <c r="FS2" i="4" l="1"/>
  <c r="J24" i="2" s="1"/>
  <c r="EU2" i="3"/>
  <c r="E21" i="2" s="1"/>
  <c r="DO2" i="4"/>
  <c r="J17" i="2" s="1"/>
  <c r="DE2" i="3"/>
  <c r="DF2" i="3" s="1"/>
  <c r="D16" i="2" s="1"/>
  <c r="DW2" i="3"/>
  <c r="E18" i="2" s="1"/>
  <c r="FK2" i="3"/>
  <c r="E23" i="2" s="1"/>
  <c r="BI2" i="4"/>
  <c r="BJ2" i="4" s="1"/>
  <c r="I10" i="2" s="1"/>
  <c r="AU2" i="3"/>
  <c r="E8" i="2" s="1"/>
  <c r="O2" i="3"/>
  <c r="E4" i="2" s="1"/>
  <c r="BK2" i="4"/>
  <c r="J10" i="2" s="1"/>
  <c r="CI2" i="3"/>
  <c r="E13" i="2" s="1"/>
  <c r="BI2" i="3"/>
  <c r="BS2" i="4"/>
  <c r="J11" i="2" s="1"/>
  <c r="BQ2" i="4"/>
  <c r="BY2" i="4"/>
  <c r="FI2" i="4"/>
  <c r="AU2" i="4"/>
  <c r="J8" i="2" s="1"/>
  <c r="AE2" i="4"/>
  <c r="J6" i="2" s="1"/>
  <c r="CG2" i="3"/>
  <c r="FK2" i="4"/>
  <c r="J23" i="2" s="1"/>
  <c r="DE2" i="4"/>
  <c r="E2" i="4"/>
  <c r="G2" i="4"/>
  <c r="J3" i="2" s="1"/>
  <c r="BS2" i="3"/>
  <c r="E11" i="2" s="1"/>
  <c r="EC2" i="3"/>
  <c r="FS2" i="3"/>
  <c r="E24" i="2" s="1"/>
  <c r="FQ2" i="3"/>
  <c r="CG2" i="4"/>
  <c r="U2" i="4"/>
  <c r="AC2" i="4"/>
  <c r="FC2" i="3"/>
  <c r="E22" i="2" s="1"/>
  <c r="FA2" i="3"/>
  <c r="CQ2" i="3"/>
  <c r="E14" i="2" s="1"/>
  <c r="CO2" i="3"/>
  <c r="BK2" i="3"/>
  <c r="E10" i="2" s="1"/>
  <c r="CW2" i="3"/>
  <c r="CY2" i="3"/>
  <c r="E15" i="2" s="1"/>
  <c r="H10" i="2"/>
  <c r="C16" i="2"/>
  <c r="AK2" i="3"/>
  <c r="AM2" i="3"/>
  <c r="E7" i="2" s="1"/>
  <c r="CA2" i="3"/>
  <c r="E12" i="2" s="1"/>
  <c r="BY2" i="3"/>
  <c r="DG2" i="3"/>
  <c r="E16" i="2" s="1"/>
  <c r="FQ2" i="4"/>
  <c r="EE2" i="4"/>
  <c r="J19" i="2" s="1"/>
  <c r="CI2" i="4"/>
  <c r="J13" i="2" s="1"/>
  <c r="AK2" i="4"/>
  <c r="CQ2" i="4"/>
  <c r="J14" i="2" s="1"/>
  <c r="CO2" i="4"/>
  <c r="DM2" i="4"/>
  <c r="O2" i="4"/>
  <c r="J4" i="2" s="1"/>
  <c r="ES2" i="4"/>
  <c r="EC2" i="4"/>
  <c r="W2" i="4"/>
  <c r="J5" i="2" s="1"/>
  <c r="EK2" i="4"/>
  <c r="EM2" i="4"/>
  <c r="J20" i="2" s="1"/>
  <c r="FC2" i="4"/>
  <c r="J22" i="2" s="1"/>
  <c r="DU2" i="4"/>
  <c r="EM2" i="3"/>
  <c r="E20" i="2" s="1"/>
  <c r="EK2" i="3"/>
  <c r="ES2" i="3"/>
  <c r="U2" i="3"/>
  <c r="M2" i="4"/>
  <c r="G2" i="3"/>
  <c r="E3" i="2" s="1"/>
  <c r="E2" i="3"/>
  <c r="EU2" i="4"/>
  <c r="J21" i="2" s="1"/>
  <c r="CW2" i="4"/>
  <c r="CY2" i="4"/>
  <c r="J15" i="2" s="1"/>
  <c r="AM2" i="4"/>
  <c r="J7" i="2" s="1"/>
  <c r="FA2" i="4"/>
  <c r="DG2" i="4"/>
  <c r="J16" i="2" s="1"/>
  <c r="DW2" i="4"/>
  <c r="J18" i="2" s="1"/>
  <c r="DO2" i="3"/>
  <c r="E17" i="2" s="1"/>
  <c r="DM2" i="3"/>
  <c r="AE2" i="3"/>
  <c r="E6" i="2" s="1"/>
  <c r="AC2" i="3"/>
  <c r="BQ2" i="3"/>
  <c r="AS2" i="3"/>
  <c r="EE2" i="3"/>
  <c r="E19" i="2" s="1"/>
  <c r="W2" i="3"/>
  <c r="E5" i="2" s="1"/>
  <c r="M2" i="3"/>
  <c r="CA2" i="4"/>
  <c r="J12" i="2" s="1"/>
  <c r="AS2" i="4"/>
  <c r="AZ14" i="3"/>
  <c r="AZ13" i="3"/>
  <c r="AZ9" i="3"/>
  <c r="AZ7" i="3"/>
  <c r="AZ5" i="3"/>
  <c r="AZ3" i="3"/>
  <c r="AZ12" i="3"/>
  <c r="AZ11" i="3"/>
  <c r="AZ10" i="3"/>
  <c r="AZ8" i="3"/>
  <c r="AZ6" i="3"/>
  <c r="AZ4" i="3"/>
  <c r="AZ2" i="3"/>
  <c r="DU2" i="3"/>
  <c r="BC2" i="4"/>
  <c r="J9" i="2" s="1"/>
  <c r="BA2" i="4"/>
  <c r="FI2" i="3"/>
  <c r="AT2" i="3" l="1"/>
  <c r="D8" i="2" s="1"/>
  <c r="C8" i="2"/>
  <c r="C11" i="2"/>
  <c r="BR2" i="3"/>
  <c r="D11" i="2" s="1"/>
  <c r="ET2" i="3"/>
  <c r="D21" i="2" s="1"/>
  <c r="C21" i="2"/>
  <c r="DV2" i="3"/>
  <c r="D18" i="2" s="1"/>
  <c r="C18" i="2"/>
  <c r="N2" i="3"/>
  <c r="D4" i="2" s="1"/>
  <c r="C4" i="2"/>
  <c r="BA2" i="3"/>
  <c r="N2" i="4"/>
  <c r="I4" i="2" s="1"/>
  <c r="H4" i="2"/>
  <c r="EL2" i="4"/>
  <c r="I20" i="2" s="1"/>
  <c r="H20" i="2"/>
  <c r="AL2" i="4"/>
  <c r="I7" i="2" s="1"/>
  <c r="H7" i="2"/>
  <c r="C7" i="2"/>
  <c r="AL2" i="3"/>
  <c r="D7" i="2" s="1"/>
  <c r="CP2" i="3"/>
  <c r="D14" i="2" s="1"/>
  <c r="C14" i="2"/>
  <c r="FB2" i="4"/>
  <c r="I22" i="2" s="1"/>
  <c r="H22" i="2"/>
  <c r="V2" i="3"/>
  <c r="D5" i="2" s="1"/>
  <c r="C5" i="2"/>
  <c r="C19" i="2"/>
  <c r="ED2" i="3"/>
  <c r="D19" i="2" s="1"/>
  <c r="FB2" i="3"/>
  <c r="D22" i="2" s="1"/>
  <c r="C22" i="2"/>
  <c r="FJ2" i="4"/>
  <c r="I23" i="2" s="1"/>
  <c r="H23" i="2"/>
  <c r="C23" i="2"/>
  <c r="FJ2" i="3"/>
  <c r="D23" i="2" s="1"/>
  <c r="AD2" i="3"/>
  <c r="D6" i="2" s="1"/>
  <c r="C6" i="2"/>
  <c r="EL2" i="3"/>
  <c r="D20" i="2" s="1"/>
  <c r="C20" i="2"/>
  <c r="ET2" i="4"/>
  <c r="I21" i="2" s="1"/>
  <c r="H21" i="2"/>
  <c r="FR2" i="4"/>
  <c r="I24" i="2" s="1"/>
  <c r="H24" i="2"/>
  <c r="J25" i="2"/>
  <c r="K30" i="2" s="1"/>
  <c r="J26" i="2"/>
  <c r="K31" i="2" s="1"/>
  <c r="BZ2" i="4"/>
  <c r="I12" i="2" s="1"/>
  <c r="H12" i="2"/>
  <c r="AD2" i="4"/>
  <c r="I6" i="2" s="1"/>
  <c r="H6" i="2"/>
  <c r="F2" i="4"/>
  <c r="I3" i="2" s="1"/>
  <c r="H3" i="2"/>
  <c r="BR2" i="4"/>
  <c r="I11" i="2" s="1"/>
  <c r="H11" i="2"/>
  <c r="BB2" i="4"/>
  <c r="I9" i="2" s="1"/>
  <c r="H9" i="2"/>
  <c r="DN2" i="3"/>
  <c r="D17" i="2" s="1"/>
  <c r="C17" i="2"/>
  <c r="DV2" i="4"/>
  <c r="I18" i="2" s="1"/>
  <c r="H18" i="2"/>
  <c r="DN2" i="4"/>
  <c r="I17" i="2" s="1"/>
  <c r="H17" i="2"/>
  <c r="BZ2" i="3"/>
  <c r="D12" i="2" s="1"/>
  <c r="C12" i="2"/>
  <c r="V2" i="4"/>
  <c r="I5" i="2" s="1"/>
  <c r="H5" i="2"/>
  <c r="DF2" i="4"/>
  <c r="I16" i="2" s="1"/>
  <c r="H16" i="2"/>
  <c r="ED2" i="4"/>
  <c r="I19" i="2" s="1"/>
  <c r="H19" i="2"/>
  <c r="AT2" i="4"/>
  <c r="I8" i="2" s="1"/>
  <c r="H8" i="2"/>
  <c r="CX2" i="4"/>
  <c r="I15" i="2" s="1"/>
  <c r="H15" i="2"/>
  <c r="CP2" i="4"/>
  <c r="I14" i="2" s="1"/>
  <c r="H14" i="2"/>
  <c r="C15" i="2"/>
  <c r="CX2" i="3"/>
  <c r="D15" i="2" s="1"/>
  <c r="CH2" i="4"/>
  <c r="I13" i="2" s="1"/>
  <c r="H13" i="2"/>
  <c r="BJ2" i="3"/>
  <c r="D10" i="2" s="1"/>
  <c r="C10" i="2"/>
  <c r="BC2" i="3"/>
  <c r="E9" i="2" s="1"/>
  <c r="E25" i="2" s="1"/>
  <c r="J30" i="2" s="1"/>
  <c r="F2" i="3"/>
  <c r="D3" i="2" s="1"/>
  <c r="C3" i="2"/>
  <c r="FR2" i="3"/>
  <c r="D24" i="2" s="1"/>
  <c r="C24" i="2"/>
  <c r="CH2" i="3"/>
  <c r="D13" i="2" s="1"/>
  <c r="C13" i="2"/>
  <c r="I25" i="2" l="1"/>
  <c r="G30" i="2" s="1"/>
  <c r="I26" i="2"/>
  <c r="G31" i="2" s="1"/>
  <c r="BB2" i="3"/>
  <c r="D9" i="2" s="1"/>
  <c r="D25" i="2" s="1"/>
  <c r="F30" i="2" s="1"/>
  <c r="C9" i="2"/>
  <c r="E26" i="2"/>
  <c r="J31" i="2" s="1"/>
  <c r="C26" i="2"/>
  <c r="B31" i="2" s="1"/>
  <c r="C25" i="2"/>
  <c r="B30" i="2" s="1"/>
  <c r="H26" i="2"/>
  <c r="C31" i="2" s="1"/>
  <c r="H25" i="2"/>
  <c r="C30" i="2" s="1"/>
  <c r="D26" i="2" l="1"/>
  <c r="F31" i="2" s="1"/>
</calcChain>
</file>

<file path=xl/sharedStrings.xml><?xml version="1.0" encoding="utf-8"?>
<sst xmlns="http://schemas.openxmlformats.org/spreadsheetml/2006/main" count="435" uniqueCount="83">
  <si>
    <t>DIAMETRE FIBRE COROUI</t>
  </si>
  <si>
    <t>DIAMETRE FIBRE COSOU</t>
  </si>
  <si>
    <t>D_1(mm)</t>
  </si>
  <si>
    <t>D_2(mm)</t>
  </si>
  <si>
    <t>D_3(mm)</t>
  </si>
  <si>
    <t>D_Moy(mm)</t>
  </si>
  <si>
    <t>S_(mm2)</t>
  </si>
  <si>
    <t>D_Moy Global(mm)</t>
  </si>
  <si>
    <t>ECH1</t>
  </si>
  <si>
    <t>ECH2</t>
  </si>
  <si>
    <t>ECH3</t>
  </si>
  <si>
    <t>ECH4</t>
  </si>
  <si>
    <t>ECH5</t>
  </si>
  <si>
    <t>ECH6</t>
  </si>
  <si>
    <t>ECH7</t>
  </si>
  <si>
    <t>ECH8</t>
  </si>
  <si>
    <t>ECH9</t>
  </si>
  <si>
    <t>ECH10</t>
  </si>
  <si>
    <t>ECH11</t>
  </si>
  <si>
    <t>ECH12</t>
  </si>
  <si>
    <t>ECH13</t>
  </si>
  <si>
    <t>ECH14</t>
  </si>
  <si>
    <t>ECH15</t>
  </si>
  <si>
    <t>ECH16</t>
  </si>
  <si>
    <t>ECH17</t>
  </si>
  <si>
    <t>ECH18</t>
  </si>
  <si>
    <t>ECH19</t>
  </si>
  <si>
    <t>ECH20</t>
  </si>
  <si>
    <t>ECH21</t>
  </si>
  <si>
    <t>ECH22</t>
  </si>
  <si>
    <t>COROUI</t>
  </si>
  <si>
    <t>COSOU</t>
  </si>
  <si>
    <t>Cont(max)</t>
  </si>
  <si>
    <t>Def rupt</t>
  </si>
  <si>
    <t>E(mpa)</t>
  </si>
  <si>
    <t>MOYENNE</t>
  </si>
  <si>
    <t>ECART-TYPE</t>
  </si>
  <si>
    <t>Elong.(mm) - ECH1</t>
  </si>
  <si>
    <t>Force(N) - ECH1</t>
  </si>
  <si>
    <t>Def</t>
  </si>
  <si>
    <t>Cont</t>
  </si>
  <si>
    <t>Elong.(mm) - ECH2</t>
  </si>
  <si>
    <t>Force(N) - ECH2</t>
  </si>
  <si>
    <t>Elong.(mm) - ECH3</t>
  </si>
  <si>
    <t>Force(N) - ECH3</t>
  </si>
  <si>
    <t>Elong.(mm) - ECH4</t>
  </si>
  <si>
    <t>Force(N) - ECH4</t>
  </si>
  <si>
    <t>Elong.(mm) - ECH5</t>
  </si>
  <si>
    <t>Force(N) - ECH5</t>
  </si>
  <si>
    <t>Elong.(mm) - ECH6</t>
  </si>
  <si>
    <t>Force(N) - ECH6</t>
  </si>
  <si>
    <t>Elong.(mm) - ECH7</t>
  </si>
  <si>
    <t>Force(N) - ECH7</t>
  </si>
  <si>
    <t>Elong.(mm) - ECH8</t>
  </si>
  <si>
    <t>Force(N) - ECH8</t>
  </si>
  <si>
    <t>Elong.(mm) - ECH9</t>
  </si>
  <si>
    <t>Force(N) - ECH9</t>
  </si>
  <si>
    <t>Elong.(mm) - ECH10</t>
  </si>
  <si>
    <t>Force(N) - ECH10</t>
  </si>
  <si>
    <t>Elong.(mm) - ECH11</t>
  </si>
  <si>
    <t>Force(N) - ECH11</t>
  </si>
  <si>
    <t>Elong.(mm) - ECH12</t>
  </si>
  <si>
    <t>Force(N) - ECH12</t>
  </si>
  <si>
    <t>Elong.(mm) - ECH13</t>
  </si>
  <si>
    <t>Force(N) - ECH13</t>
  </si>
  <si>
    <t>Elong.(mm) - ECH14</t>
  </si>
  <si>
    <t>Force(N) - ECH14</t>
  </si>
  <si>
    <t>Elong.(mm) - ECH15</t>
  </si>
  <si>
    <t>Force(N) - ECH15</t>
  </si>
  <si>
    <t>Elong.(mm) - ECH16</t>
  </si>
  <si>
    <t>Force(N) - ECH16</t>
  </si>
  <si>
    <t>Elong.(mm) - ECH17</t>
  </si>
  <si>
    <t>Force(N) - ECH17</t>
  </si>
  <si>
    <t>Elong.(mm) - ECH18</t>
  </si>
  <si>
    <t>Force(N) - ECH18</t>
  </si>
  <si>
    <t>Elong.(mm) - ECH19</t>
  </si>
  <si>
    <t>Force(N) - ECH19</t>
  </si>
  <si>
    <t>Elong.(mm) - ECH20</t>
  </si>
  <si>
    <t>Force(N) - ECH20</t>
  </si>
  <si>
    <t>Elong.(mm) - ECH21</t>
  </si>
  <si>
    <t>Force(N) - ECH21</t>
  </si>
  <si>
    <t>Elong.(mm) - ECH22</t>
  </si>
  <si>
    <t>Force(N) - ECH22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</si>
</sst>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ECH1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COROUI!$C$2:$C$6</c:f>
              <c:numCache>
                <c:formatCode>General</c:formatCode>
                <c:ptCount val="5"/>
                <c:pt idx="0">
                  <c:v>0</c:v>
                </c:pt>
                <c:pt idx="1">
                  <c:v>8.0000000000000002E-3</c:v>
                </c:pt>
                <c:pt idx="2">
                  <c:v>1.12E-2</c:v>
                </c:pt>
                <c:pt idx="3">
                  <c:v>1.4249999999999999E-2</c:v>
                </c:pt>
                <c:pt idx="4">
                  <c:v>1.7499999999999998E-2</c:v>
                </c:pt>
              </c:numCache>
            </c:numRef>
          </c:xVal>
          <c:yVal>
            <c:numRef>
              <c:f>COROUI!$D$2:$D$6</c:f>
              <c:numCache>
                <c:formatCode>General</c:formatCode>
                <c:ptCount val="5"/>
                <c:pt idx="0">
                  <c:v>0</c:v>
                </c:pt>
                <c:pt idx="1">
                  <c:v>5.7240690728020818</c:v>
                </c:pt>
                <c:pt idx="2">
                  <c:v>14.159539285352519</c:v>
                </c:pt>
                <c:pt idx="3">
                  <c:v>22.508933271244278</c:v>
                </c:pt>
                <c:pt idx="4">
                  <c:v>22.46589515791494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C7-4D38-A3B4-2DE44EA8A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ECH2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COROUI!$K$4:$K$7</c:f>
              <c:numCache>
                <c:formatCode>General</c:formatCode>
                <c:ptCount val="4"/>
                <c:pt idx="0">
                  <c:v>1.2750000000000001E-2</c:v>
                </c:pt>
                <c:pt idx="1">
                  <c:v>1.6E-2</c:v>
                </c:pt>
                <c:pt idx="2">
                  <c:v>1.8849999999999999E-2</c:v>
                </c:pt>
                <c:pt idx="3">
                  <c:v>2.2950000000000002E-2</c:v>
                </c:pt>
              </c:numCache>
            </c:numRef>
          </c:xVal>
          <c:yVal>
            <c:numRef>
              <c:f>COROUI!$L$4:$L$7</c:f>
              <c:numCache>
                <c:formatCode>General</c:formatCode>
                <c:ptCount val="4"/>
                <c:pt idx="0">
                  <c:v>19.894154026042035</c:v>
                </c:pt>
                <c:pt idx="1">
                  <c:v>35.81563642768868</c:v>
                </c:pt>
                <c:pt idx="2">
                  <c:v>54.755117427713216</c:v>
                </c:pt>
                <c:pt idx="3">
                  <c:v>78.252392229369676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EF-4CC5-87AE-40F76D19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ECH3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ECH3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COROUI!$S$3:$S$6</c:f>
              <c:numCache>
                <c:formatCode>General</c:formatCode>
                <c:ptCount val="4"/>
                <c:pt idx="0">
                  <c:v>7.6E-3</c:v>
                </c:pt>
                <c:pt idx="1">
                  <c:v>1.11E-2</c:v>
                </c:pt>
                <c:pt idx="2">
                  <c:v>1.4749999999999999E-2</c:v>
                </c:pt>
                <c:pt idx="3">
                  <c:v>1.7849999999999998E-2</c:v>
                </c:pt>
              </c:numCache>
            </c:numRef>
          </c:xVal>
          <c:yVal>
            <c:numRef>
              <c:f>COROUI!$T$3:$T$6</c:f>
              <c:numCache>
                <c:formatCode>General</c:formatCode>
                <c:ptCount val="4"/>
                <c:pt idx="0">
                  <c:v>2.8459122915934243</c:v>
                </c:pt>
                <c:pt idx="1">
                  <c:v>8.0694221938851527</c:v>
                </c:pt>
                <c:pt idx="2">
                  <c:v>15.382336057093569</c:v>
                </c:pt>
                <c:pt idx="3">
                  <c:v>24.568508643882474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C7-4EC2-B61F-575F07B2C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ECH4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ECH4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COROUI!$AA$2:$AA$11</c:f>
              <c:numCache>
                <c:formatCode>General</c:formatCode>
                <c:ptCount val="10"/>
                <c:pt idx="0">
                  <c:v>0</c:v>
                </c:pt>
                <c:pt idx="1">
                  <c:v>4.2500000000000003E-3</c:v>
                </c:pt>
                <c:pt idx="2">
                  <c:v>9.75E-3</c:v>
                </c:pt>
                <c:pt idx="3">
                  <c:v>1.3950000000000001E-2</c:v>
                </c:pt>
                <c:pt idx="4">
                  <c:v>1.7150000000000002E-2</c:v>
                </c:pt>
                <c:pt idx="5">
                  <c:v>2.0250000000000001E-2</c:v>
                </c:pt>
                <c:pt idx="6">
                  <c:v>2.375E-2</c:v>
                </c:pt>
                <c:pt idx="7">
                  <c:v>2.7350000000000003E-2</c:v>
                </c:pt>
                <c:pt idx="8">
                  <c:v>3.2000000000000001E-2</c:v>
                </c:pt>
                <c:pt idx="9">
                  <c:v>3.56E-2</c:v>
                </c:pt>
              </c:numCache>
            </c:numRef>
          </c:xVal>
          <c:yVal>
            <c:numRef>
              <c:f>COROUI!$AB$2:$AB$11</c:f>
              <c:numCache>
                <c:formatCode>General</c:formatCode>
                <c:ptCount val="10"/>
                <c:pt idx="0">
                  <c:v>0</c:v>
                </c:pt>
                <c:pt idx="1">
                  <c:v>0.95112139866544743</c:v>
                </c:pt>
                <c:pt idx="2">
                  <c:v>1.6757853214581688</c:v>
                </c:pt>
                <c:pt idx="3">
                  <c:v>2.3778034966636179</c:v>
                </c:pt>
                <c:pt idx="4">
                  <c:v>3.1704046622181576</c:v>
                </c:pt>
                <c:pt idx="5">
                  <c:v>3.9856515753599688</c:v>
                </c:pt>
                <c:pt idx="6">
                  <c:v>5.0386788381681429</c:v>
                </c:pt>
                <c:pt idx="7">
                  <c:v>5.8539257513099532</c:v>
                </c:pt>
                <c:pt idx="8">
                  <c:v>6.5672668003090404</c:v>
                </c:pt>
                <c:pt idx="9">
                  <c:v>7.2692849755144877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2A-4FD3-BD8A-596C3306E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ECH5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ECH5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COROUI!$AI$2:$AI$11</c:f>
              <c:numCache>
                <c:formatCode>General</c:formatCode>
                <c:ptCount val="10"/>
                <c:pt idx="0">
                  <c:v>0</c:v>
                </c:pt>
                <c:pt idx="1">
                  <c:v>7.7499999999999999E-3</c:v>
                </c:pt>
                <c:pt idx="2">
                  <c:v>1.0499999999999999E-2</c:v>
                </c:pt>
                <c:pt idx="3">
                  <c:v>1.4000000000000002E-2</c:v>
                </c:pt>
                <c:pt idx="4">
                  <c:v>1.8599999999999998E-2</c:v>
                </c:pt>
                <c:pt idx="5">
                  <c:v>2.2749999999999999E-2</c:v>
                </c:pt>
                <c:pt idx="6">
                  <c:v>2.5750000000000002E-2</c:v>
                </c:pt>
                <c:pt idx="7">
                  <c:v>2.8999999999999998E-2</c:v>
                </c:pt>
                <c:pt idx="8">
                  <c:v>3.3050000000000003E-2</c:v>
                </c:pt>
                <c:pt idx="9">
                  <c:v>3.61E-2</c:v>
                </c:pt>
              </c:numCache>
            </c:numRef>
          </c:xVal>
          <c:yVal>
            <c:numRef>
              <c:f>COROUI!$AJ$2:$AJ$11</c:f>
              <c:numCache>
                <c:formatCode>General</c:formatCode>
                <c:ptCount val="10"/>
                <c:pt idx="0">
                  <c:v>0</c:v>
                </c:pt>
                <c:pt idx="1">
                  <c:v>0.92151900949353815</c:v>
                </c:pt>
                <c:pt idx="2">
                  <c:v>2.0943613852125869</c:v>
                </c:pt>
                <c:pt idx="3">
                  <c:v>3.6358113647290509</c:v>
                </c:pt>
                <c:pt idx="4">
                  <c:v>5.0264673245102083</c:v>
                </c:pt>
                <c:pt idx="5">
                  <c:v>6.0317607894122505</c:v>
                </c:pt>
                <c:pt idx="6">
                  <c:v>7.1208287097227938</c:v>
                </c:pt>
                <c:pt idx="7">
                  <c:v>8.4779748873405527</c:v>
                </c:pt>
                <c:pt idx="8">
                  <c:v>9.5000232433242928</c:v>
                </c:pt>
                <c:pt idx="9">
                  <c:v>10.555581381471438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CA-4202-A194-F2D850EA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ECH6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ECH6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COROUI!$AQ$3:$AQ$7</c:f>
              <c:numCache>
                <c:formatCode>General</c:formatCode>
                <c:ptCount val="5"/>
                <c:pt idx="0">
                  <c:v>8.2500000000000004E-3</c:v>
                </c:pt>
                <c:pt idx="1">
                  <c:v>8.2500000000000004E-3</c:v>
                </c:pt>
                <c:pt idx="2">
                  <c:v>1.5099999999999999E-2</c:v>
                </c:pt>
                <c:pt idx="3">
                  <c:v>1.8249999999999999E-2</c:v>
                </c:pt>
                <c:pt idx="4">
                  <c:v>2.1749999999999999E-2</c:v>
                </c:pt>
              </c:numCache>
            </c:numRef>
          </c:xVal>
          <c:yVal>
            <c:numRef>
              <c:f>COROUI!$AR$3:$AR$7</c:f>
              <c:numCache>
                <c:formatCode>General</c:formatCode>
                <c:ptCount val="5"/>
                <c:pt idx="0">
                  <c:v>8.5078632275957773</c:v>
                </c:pt>
                <c:pt idx="1">
                  <c:v>16.951917480984584</c:v>
                </c:pt>
                <c:pt idx="2">
                  <c:v>31.202588387207509</c:v>
                </c:pt>
                <c:pt idx="3">
                  <c:v>48.197045184330072</c:v>
                </c:pt>
                <c:pt idx="4">
                  <c:v>68.637186588628921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42-4E15-B188-E1D0060B1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ECH7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ECH7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COROUI!$AY$3:$AY$9</c:f>
              <c:numCache>
                <c:formatCode>General</c:formatCode>
                <c:ptCount val="7"/>
                <c:pt idx="0">
                  <c:v>7.000000000000001E-3</c:v>
                </c:pt>
                <c:pt idx="1">
                  <c:v>1.06E-2</c:v>
                </c:pt>
                <c:pt idx="2">
                  <c:v>1.3800000000000002E-2</c:v>
                </c:pt>
                <c:pt idx="3">
                  <c:v>1.7000000000000001E-2</c:v>
                </c:pt>
                <c:pt idx="4">
                  <c:v>2.01E-2</c:v>
                </c:pt>
                <c:pt idx="5">
                  <c:v>2.3449999999999999E-2</c:v>
                </c:pt>
                <c:pt idx="6">
                  <c:v>2.7750000000000004E-2</c:v>
                </c:pt>
              </c:numCache>
            </c:numRef>
          </c:xVal>
          <c:yVal>
            <c:numRef>
              <c:f>COROUI!$AZ$3:$AZ$9</c:f>
              <c:numCache>
                <c:formatCode>General</c:formatCode>
                <c:ptCount val="7"/>
                <c:pt idx="0">
                  <c:v>4.7026391310624716</c:v>
                </c:pt>
                <c:pt idx="1">
                  <c:v>13.15269381969035</c:v>
                </c:pt>
                <c:pt idx="2">
                  <c:v>25.472628626588389</c:v>
                </c:pt>
                <c:pt idx="3">
                  <c:v>41.637950639615632</c:v>
                </c:pt>
                <c:pt idx="4">
                  <c:v>61.330252000939737</c:v>
                </c:pt>
                <c:pt idx="5">
                  <c:v>81.194003747250491</c:v>
                </c:pt>
                <c:pt idx="6">
                  <c:v>103.36008923481057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B0-4D4F-9164-0B19546D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ECH8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ECH8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COROUI!$BG$3:$BG$12</c:f>
              <c:numCache>
                <c:formatCode>General</c:formatCode>
                <c:ptCount val="10"/>
                <c:pt idx="0">
                  <c:v>7.6E-3</c:v>
                </c:pt>
                <c:pt idx="1">
                  <c:v>1.12E-2</c:v>
                </c:pt>
                <c:pt idx="2">
                  <c:v>1.12E-2</c:v>
                </c:pt>
                <c:pt idx="3">
                  <c:v>1.7100000000000001E-2</c:v>
                </c:pt>
                <c:pt idx="4">
                  <c:v>2.1100000000000001E-2</c:v>
                </c:pt>
                <c:pt idx="5">
                  <c:v>2.4E-2</c:v>
                </c:pt>
                <c:pt idx="6">
                  <c:v>2.8000000000000004E-2</c:v>
                </c:pt>
                <c:pt idx="7">
                  <c:v>3.2050000000000002E-2</c:v>
                </c:pt>
                <c:pt idx="8">
                  <c:v>3.2050000000000002E-2</c:v>
                </c:pt>
                <c:pt idx="9">
                  <c:v>3.9199999999999999E-2</c:v>
                </c:pt>
              </c:numCache>
            </c:numRef>
          </c:xVal>
          <c:yVal>
            <c:numRef>
              <c:f>COROUI!$BH$3:$BH$12</c:f>
              <c:numCache>
                <c:formatCode>General</c:formatCode>
                <c:ptCount val="10"/>
                <c:pt idx="0">
                  <c:v>3.4010158001433943</c:v>
                </c:pt>
                <c:pt idx="1">
                  <c:v>10.162559117095142</c:v>
                </c:pt>
                <c:pt idx="2">
                  <c:v>16.88361415071185</c:v>
                </c:pt>
                <c:pt idx="3">
                  <c:v>29.192052284564131</c:v>
                </c:pt>
                <c:pt idx="4">
                  <c:v>46.075666435275977</c:v>
                </c:pt>
                <c:pt idx="5">
                  <c:v>63.728557969353602</c:v>
                </c:pt>
                <c:pt idx="6">
                  <c:v>83.405863670183237</c:v>
                </c:pt>
                <c:pt idx="7">
                  <c:v>108.50859933790829</c:v>
                </c:pt>
                <c:pt idx="8">
                  <c:v>127.98346362206273</c:v>
                </c:pt>
                <c:pt idx="9">
                  <c:v>152.39789847309208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06-41E8-B010-B4444538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ECH9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ECH9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COROUI!$BO$3:$BO$7</c:f>
              <c:numCache>
                <c:formatCode>General</c:formatCode>
                <c:ptCount val="5"/>
                <c:pt idx="0">
                  <c:v>7.7999999999999996E-3</c:v>
                </c:pt>
                <c:pt idx="1">
                  <c:v>1.1849999999999999E-2</c:v>
                </c:pt>
                <c:pt idx="2">
                  <c:v>1.6E-2</c:v>
                </c:pt>
                <c:pt idx="3">
                  <c:v>1.6E-2</c:v>
                </c:pt>
                <c:pt idx="4">
                  <c:v>2.2749999999999999E-2</c:v>
                </c:pt>
              </c:numCache>
            </c:numRef>
          </c:xVal>
          <c:yVal>
            <c:numRef>
              <c:f>COROUI!$BP$3:$BP$7</c:f>
              <c:numCache>
                <c:formatCode>General</c:formatCode>
                <c:ptCount val="5"/>
                <c:pt idx="0">
                  <c:v>0.67134313097524601</c:v>
                </c:pt>
                <c:pt idx="1">
                  <c:v>1.8279144655266601</c:v>
                </c:pt>
                <c:pt idx="2">
                  <c:v>3.5095957738111871</c:v>
                </c:pt>
                <c:pt idx="3">
                  <c:v>5.1846301204028897</c:v>
                </c:pt>
                <c:pt idx="4">
                  <c:v>7.6307120233622019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5-4507-B3C0-4737C7681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ECH10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ECH10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COROUI!$BW$2:$BW$11</c:f>
              <c:numCache>
                <c:formatCode>General</c:formatCode>
                <c:ptCount val="10"/>
                <c:pt idx="0">
                  <c:v>0</c:v>
                </c:pt>
                <c:pt idx="1">
                  <c:v>7.7000000000000002E-3</c:v>
                </c:pt>
                <c:pt idx="2">
                  <c:v>1.11E-2</c:v>
                </c:pt>
                <c:pt idx="3">
                  <c:v>1.4749999999999999E-2</c:v>
                </c:pt>
                <c:pt idx="4">
                  <c:v>1.7150000000000002E-2</c:v>
                </c:pt>
                <c:pt idx="5">
                  <c:v>2.0549999999999999E-2</c:v>
                </c:pt>
                <c:pt idx="6">
                  <c:v>2.4E-2</c:v>
                </c:pt>
                <c:pt idx="7">
                  <c:v>2.8100000000000003E-2</c:v>
                </c:pt>
                <c:pt idx="8">
                  <c:v>3.2100000000000004E-2</c:v>
                </c:pt>
                <c:pt idx="9">
                  <c:v>3.5499999999999997E-2</c:v>
                </c:pt>
              </c:numCache>
            </c:numRef>
          </c:xVal>
          <c:yVal>
            <c:numRef>
              <c:f>COROUI!$BX$2:$BX$11</c:f>
              <c:numCache>
                <c:formatCode>General</c:formatCode>
                <c:ptCount val="10"/>
                <c:pt idx="0">
                  <c:v>0</c:v>
                </c:pt>
                <c:pt idx="1">
                  <c:v>5.2786126653103542</c:v>
                </c:pt>
                <c:pt idx="2">
                  <c:v>13.657362927707743</c:v>
                </c:pt>
                <c:pt idx="3">
                  <c:v>24.549738268824346</c:v>
                </c:pt>
                <c:pt idx="4">
                  <c:v>37.327332418980362</c:v>
                </c:pt>
                <c:pt idx="5">
                  <c:v>53.121276663599438</c:v>
                </c:pt>
                <c:pt idx="6">
                  <c:v>66.56917083474724</c:v>
                </c:pt>
                <c:pt idx="7">
                  <c:v>79.723808746711143</c:v>
                </c:pt>
                <c:pt idx="8">
                  <c:v>93.6744279336028</c:v>
                </c:pt>
                <c:pt idx="9">
                  <c:v>107.96019713099034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6-491A-940F-4406493F1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ECH11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ECH11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COROUI!$CE$3:$CE$10</c:f>
              <c:numCache>
                <c:formatCode>General</c:formatCode>
                <c:ptCount val="8"/>
                <c:pt idx="0">
                  <c:v>8.3499999999999998E-3</c:v>
                </c:pt>
                <c:pt idx="1">
                  <c:v>1.175E-2</c:v>
                </c:pt>
                <c:pt idx="2">
                  <c:v>1.55E-2</c:v>
                </c:pt>
                <c:pt idx="3">
                  <c:v>1.8599999999999998E-2</c:v>
                </c:pt>
                <c:pt idx="4">
                  <c:v>2.2350000000000002E-2</c:v>
                </c:pt>
                <c:pt idx="5">
                  <c:v>2.6100000000000002E-2</c:v>
                </c:pt>
                <c:pt idx="6">
                  <c:v>0.03</c:v>
                </c:pt>
                <c:pt idx="7">
                  <c:v>3.3750000000000002E-2</c:v>
                </c:pt>
              </c:numCache>
            </c:numRef>
          </c:xVal>
          <c:yVal>
            <c:numRef>
              <c:f>COROUI!$CF$3:$CF$10</c:f>
              <c:numCache>
                <c:formatCode>General</c:formatCode>
                <c:ptCount val="8"/>
                <c:pt idx="0">
                  <c:v>1.1546202004275257</c:v>
                </c:pt>
                <c:pt idx="1">
                  <c:v>2.7077376381707463</c:v>
                </c:pt>
                <c:pt idx="2">
                  <c:v>4.7410953362687787</c:v>
                </c:pt>
                <c:pt idx="3">
                  <c:v>7.1933860274422834</c:v>
                </c:pt>
                <c:pt idx="4">
                  <c:v>9.9011236656130297</c:v>
                </c:pt>
                <c:pt idx="5">
                  <c:v>11.781213195512718</c:v>
                </c:pt>
                <c:pt idx="6">
                  <c:v>13.661302725412407</c:v>
                </c:pt>
                <c:pt idx="7">
                  <c:v>15.316598941954524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7-421C-8323-7C3FE09EB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ECH12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COROUI!$CM$2:$CM$11</c:f>
            </c:numRef>
          </c:xVal>
          <c:yVal>
            <c:numRef>
              <c:f>COROUI!$CN$2:$CN$11</c:f>
              <c:numCache>
                <c:formatCode>General</c:formatCode>
                <c:ptCount val="10"/>
                <c:pt idx="0">
                  <c:v>0</c:v>
                </c:pt>
                <c:pt idx="1">
                  <c:v>3.688414636820327</c:v>
                </c:pt>
                <c:pt idx="2">
                  <c:v>7.9113821195566461</c:v>
                </c:pt>
                <c:pt idx="3">
                  <c:v>11.492886187193776</c:v>
                </c:pt>
                <c:pt idx="4">
                  <c:v>14.646747978098116</c:v>
                </c:pt>
                <c:pt idx="5">
                  <c:v>18.014430907368851</c:v>
                </c:pt>
                <c:pt idx="6">
                  <c:v>22.130487820921967</c:v>
                </c:pt>
                <c:pt idx="7">
                  <c:v>25.337804896417907</c:v>
                </c:pt>
                <c:pt idx="8">
                  <c:v>28.865853679463441</c:v>
                </c:pt>
                <c:pt idx="9">
                  <c:v>28.865853679463441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F3-43CB-BB3D-ADD7A0228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ECH13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ECH13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COROUI!$CU$2:$CU$11</c:f>
              <c:numCache>
                <c:formatCode>General</c:formatCode>
                <c:ptCount val="10"/>
                <c:pt idx="0">
                  <c:v>0</c:v>
                </c:pt>
                <c:pt idx="1">
                  <c:v>7.9000000000000008E-3</c:v>
                </c:pt>
                <c:pt idx="2">
                  <c:v>1.115E-2</c:v>
                </c:pt>
                <c:pt idx="3">
                  <c:v>1.5099999999999999E-2</c:v>
                </c:pt>
                <c:pt idx="4">
                  <c:v>1.89E-2</c:v>
                </c:pt>
                <c:pt idx="5">
                  <c:v>2.2749999999999999E-2</c:v>
                </c:pt>
                <c:pt idx="6">
                  <c:v>2.5750000000000002E-2</c:v>
                </c:pt>
                <c:pt idx="7">
                  <c:v>3.0099999999999998E-2</c:v>
                </c:pt>
                <c:pt idx="8">
                  <c:v>3.4000000000000002E-2</c:v>
                </c:pt>
                <c:pt idx="9">
                  <c:v>3.7199999999999997E-2</c:v>
                </c:pt>
              </c:numCache>
            </c:numRef>
          </c:xVal>
          <c:yVal>
            <c:numRef>
              <c:f>COROUI!$CV$2:$CV$11</c:f>
              <c:numCache>
                <c:formatCode>General</c:formatCode>
                <c:ptCount val="10"/>
                <c:pt idx="0">
                  <c:v>0</c:v>
                </c:pt>
                <c:pt idx="1">
                  <c:v>5.7201164795731296</c:v>
                </c:pt>
                <c:pt idx="2">
                  <c:v>14.699369092856532</c:v>
                </c:pt>
                <c:pt idx="3">
                  <c:v>27.33683573377391</c:v>
                </c:pt>
                <c:pt idx="4">
                  <c:v>43.133669034920636</c:v>
                </c:pt>
                <c:pt idx="5">
                  <c:v>61.990099522815783</c:v>
                </c:pt>
                <c:pt idx="6">
                  <c:v>77.221572474237263</c:v>
                </c:pt>
                <c:pt idx="7">
                  <c:v>92.153737005215945</c:v>
                </c:pt>
                <c:pt idx="8">
                  <c:v>106.1879762748663</c:v>
                </c:pt>
                <c:pt idx="9">
                  <c:v>119.52382923015017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42-48C3-91B8-0392ED935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ECH14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ECH14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COROUI!$DC$3:$DC$9</c:f>
              <c:numCache>
                <c:formatCode>General</c:formatCode>
                <c:ptCount val="7"/>
                <c:pt idx="0">
                  <c:v>7.7499999999999999E-3</c:v>
                </c:pt>
                <c:pt idx="1">
                  <c:v>1.18E-2</c:v>
                </c:pt>
                <c:pt idx="2">
                  <c:v>1.4999999999999999E-2</c:v>
                </c:pt>
                <c:pt idx="3">
                  <c:v>1.7999999999999999E-2</c:v>
                </c:pt>
                <c:pt idx="4">
                  <c:v>2.145E-2</c:v>
                </c:pt>
                <c:pt idx="5">
                  <c:v>2.5700000000000001E-2</c:v>
                </c:pt>
                <c:pt idx="6">
                  <c:v>2.9049999999999999E-2</c:v>
                </c:pt>
              </c:numCache>
            </c:numRef>
          </c:xVal>
          <c:yVal>
            <c:numRef>
              <c:f>COROUI!$DD$3:$DD$9</c:f>
              <c:numCache>
                <c:formatCode>General</c:formatCode>
                <c:ptCount val="7"/>
                <c:pt idx="0">
                  <c:v>19.021686352912891</c:v>
                </c:pt>
                <c:pt idx="1">
                  <c:v>47.224186623793202</c:v>
                </c:pt>
                <c:pt idx="2">
                  <c:v>82.867346540607883</c:v>
                </c:pt>
                <c:pt idx="3">
                  <c:v>125.8311554639064</c:v>
                </c:pt>
                <c:pt idx="4">
                  <c:v>176.41563999231511</c:v>
                </c:pt>
                <c:pt idx="5">
                  <c:v>217.87931592248168</c:v>
                </c:pt>
                <c:pt idx="6">
                  <c:v>257.60283758061524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88-4A9D-85AF-40D54D113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ECH15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ECH15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COROUI!$DK$2:$DK$11</c:f>
              <c:numCache>
                <c:formatCode>General</c:formatCode>
                <c:ptCount val="10"/>
                <c:pt idx="0">
                  <c:v>0</c:v>
                </c:pt>
                <c:pt idx="1">
                  <c:v>7.6E-3</c:v>
                </c:pt>
                <c:pt idx="2">
                  <c:v>1.11E-2</c:v>
                </c:pt>
                <c:pt idx="3">
                  <c:v>1.4000000000000002E-2</c:v>
                </c:pt>
                <c:pt idx="4">
                  <c:v>1.7050000000000003E-2</c:v>
                </c:pt>
                <c:pt idx="5">
                  <c:v>2.0549999999999999E-2</c:v>
                </c:pt>
                <c:pt idx="6">
                  <c:v>2.41E-2</c:v>
                </c:pt>
                <c:pt idx="7">
                  <c:v>2.8050000000000002E-2</c:v>
                </c:pt>
                <c:pt idx="8">
                  <c:v>3.1600000000000003E-2</c:v>
                </c:pt>
                <c:pt idx="9">
                  <c:v>3.4699999999999995E-2</c:v>
                </c:pt>
              </c:numCache>
            </c:numRef>
          </c:xVal>
          <c:yVal>
            <c:numRef>
              <c:f>COROUI!$DL$2:$DL$11</c:f>
              <c:numCache>
                <c:formatCode>General</c:formatCode>
                <c:ptCount val="10"/>
                <c:pt idx="0">
                  <c:v>0</c:v>
                </c:pt>
                <c:pt idx="1">
                  <c:v>20.847215851371228</c:v>
                </c:pt>
                <c:pt idx="2">
                  <c:v>52.458680410313221</c:v>
                </c:pt>
                <c:pt idx="3">
                  <c:v>91.155473232466363</c:v>
                </c:pt>
                <c:pt idx="4">
                  <c:v>136.66508169232247</c:v>
                </c:pt>
                <c:pt idx="5">
                  <c:v>189.12376210263571</c:v>
                </c:pt>
                <c:pt idx="6">
                  <c:v>225.64045392072387</c:v>
                </c:pt>
                <c:pt idx="7">
                  <c:v>258.88699423271458</c:v>
                </c:pt>
                <c:pt idx="8">
                  <c:v>290.36220247890253</c:v>
                </c:pt>
                <c:pt idx="9">
                  <c:v>319.79356603377954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BA-41B7-B360-9090FAFD1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ECH16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ECH16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COROUI!$DS$3:$DS$12</c:f>
              <c:numCache>
                <c:formatCode>General</c:formatCode>
                <c:ptCount val="10"/>
                <c:pt idx="0">
                  <c:v>7.0999999999999995E-3</c:v>
                </c:pt>
                <c:pt idx="1">
                  <c:v>1.06E-2</c:v>
                </c:pt>
                <c:pt idx="2">
                  <c:v>1.4149999999999999E-2</c:v>
                </c:pt>
                <c:pt idx="3">
                  <c:v>1.7150000000000002E-2</c:v>
                </c:pt>
                <c:pt idx="4">
                  <c:v>2.0399999999999998E-2</c:v>
                </c:pt>
                <c:pt idx="5">
                  <c:v>2.385E-2</c:v>
                </c:pt>
                <c:pt idx="6">
                  <c:v>2.7500000000000004E-2</c:v>
                </c:pt>
                <c:pt idx="7">
                  <c:v>3.0849999999999999E-2</c:v>
                </c:pt>
                <c:pt idx="8">
                  <c:v>3.3750000000000002E-2</c:v>
                </c:pt>
                <c:pt idx="9">
                  <c:v>3.7749999999999999E-2</c:v>
                </c:pt>
              </c:numCache>
            </c:numRef>
          </c:xVal>
          <c:yVal>
            <c:numRef>
              <c:f>COROUI!$DT$3:$DT$12</c:f>
              <c:numCache>
                <c:formatCode>General</c:formatCode>
                <c:ptCount val="10"/>
                <c:pt idx="0">
                  <c:v>20.642586642892663</c:v>
                </c:pt>
                <c:pt idx="1">
                  <c:v>55.086902727254262</c:v>
                </c:pt>
                <c:pt idx="2">
                  <c:v>99.252436939954833</c:v>
                </c:pt>
                <c:pt idx="3">
                  <c:v>152.17906897202266</c:v>
                </c:pt>
                <c:pt idx="4">
                  <c:v>213.74678378483623</c:v>
                </c:pt>
                <c:pt idx="5">
                  <c:v>264.51314512171763</c:v>
                </c:pt>
                <c:pt idx="6">
                  <c:v>309.03872445028264</c:v>
                </c:pt>
                <c:pt idx="7">
                  <c:v>351.64406316090412</c:v>
                </c:pt>
                <c:pt idx="8">
                  <c:v>392.20914621496058</c:v>
                </c:pt>
                <c:pt idx="9">
                  <c:v>406.13089069505099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1-48F5-8920-63BC825E6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ECH17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ECH17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COROUI!$EA$3:$EA$12</c:f>
              <c:numCache>
                <c:formatCode>General</c:formatCode>
                <c:ptCount val="10"/>
                <c:pt idx="0">
                  <c:v>7.9500000000000005E-3</c:v>
                </c:pt>
                <c:pt idx="1">
                  <c:v>1.12E-2</c:v>
                </c:pt>
                <c:pt idx="2">
                  <c:v>1.545E-2</c:v>
                </c:pt>
                <c:pt idx="3">
                  <c:v>1.9E-2</c:v>
                </c:pt>
                <c:pt idx="4">
                  <c:v>2.1999999999999999E-2</c:v>
                </c:pt>
                <c:pt idx="5">
                  <c:v>2.5100000000000001E-2</c:v>
                </c:pt>
                <c:pt idx="6">
                  <c:v>2.8499999999999998E-2</c:v>
                </c:pt>
                <c:pt idx="7">
                  <c:v>3.2250000000000001E-2</c:v>
                </c:pt>
                <c:pt idx="8">
                  <c:v>3.56E-2</c:v>
                </c:pt>
                <c:pt idx="9">
                  <c:v>3.9550000000000002E-2</c:v>
                </c:pt>
              </c:numCache>
            </c:numRef>
          </c:xVal>
          <c:yVal>
            <c:numRef>
              <c:f>COROUI!$EB$3:$EB$12</c:f>
              <c:numCache>
                <c:formatCode>General</c:formatCode>
                <c:ptCount val="10"/>
                <c:pt idx="0">
                  <c:v>8.896399696664103</c:v>
                </c:pt>
                <c:pt idx="1">
                  <c:v>23.591934010412952</c:v>
                </c:pt>
                <c:pt idx="2">
                  <c:v>45.799983623567037</c:v>
                </c:pt>
                <c:pt idx="3">
                  <c:v>73.675369339781241</c:v>
                </c:pt>
                <c:pt idx="4">
                  <c:v>105.10931493466106</c:v>
                </c:pt>
                <c:pt idx="5">
                  <c:v>131.66671551062871</c:v>
                </c:pt>
                <c:pt idx="6">
                  <c:v>156.11533986220192</c:v>
                </c:pt>
                <c:pt idx="7">
                  <c:v>178.85058353145462</c:v>
                </c:pt>
                <c:pt idx="8">
                  <c:v>199.87244651838682</c:v>
                </c:pt>
                <c:pt idx="9">
                  <c:v>221.81689910349161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FC-4E7B-B787-C99F5DB5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ECH18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ECH18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COROUI!$EI$3:$EI$7</c:f>
              <c:numCache>
                <c:formatCode>General</c:formatCode>
                <c:ptCount val="5"/>
                <c:pt idx="0">
                  <c:v>7.7499999999999999E-3</c:v>
                </c:pt>
                <c:pt idx="1">
                  <c:v>1.085E-2</c:v>
                </c:pt>
                <c:pt idx="2">
                  <c:v>1.4099999999999998E-2</c:v>
                </c:pt>
                <c:pt idx="3">
                  <c:v>1.8499999999999999E-2</c:v>
                </c:pt>
                <c:pt idx="4">
                  <c:v>2.23E-2</c:v>
                </c:pt>
              </c:numCache>
            </c:numRef>
          </c:xVal>
          <c:yVal>
            <c:numRef>
              <c:f>COROUI!$EJ$3:$EJ$7</c:f>
              <c:numCache>
                <c:formatCode>General</c:formatCode>
                <c:ptCount val="5"/>
                <c:pt idx="0">
                  <c:v>28.401184551748461</c:v>
                </c:pt>
                <c:pt idx="1">
                  <c:v>75.864859073823013</c:v>
                </c:pt>
                <c:pt idx="2">
                  <c:v>139.31021710637299</c:v>
                </c:pt>
                <c:pt idx="3">
                  <c:v>224.0323947522667</c:v>
                </c:pt>
                <c:pt idx="4">
                  <c:v>254.45535854329214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9B-4C69-AAAF-B75777C8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ECH19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ECH19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COROUI!$EQ$3:$EQ$6</c:f>
              <c:numCache>
                <c:formatCode>General</c:formatCode>
                <c:ptCount val="4"/>
                <c:pt idx="0">
                  <c:v>8.4500000000000009E-3</c:v>
                </c:pt>
                <c:pt idx="1">
                  <c:v>1.0999999999999999E-2</c:v>
                </c:pt>
                <c:pt idx="2">
                  <c:v>1.495E-2</c:v>
                </c:pt>
                <c:pt idx="3">
                  <c:v>1.95E-2</c:v>
                </c:pt>
              </c:numCache>
            </c:numRef>
          </c:xVal>
          <c:yVal>
            <c:numRef>
              <c:f>COROUI!$ER$3:$ER$6</c:f>
              <c:numCache>
                <c:formatCode>General</c:formatCode>
                <c:ptCount val="4"/>
                <c:pt idx="0">
                  <c:v>29.109482986759804</c:v>
                </c:pt>
                <c:pt idx="1">
                  <c:v>67.32145509795086</c:v>
                </c:pt>
                <c:pt idx="2">
                  <c:v>117.26963146094664</c:v>
                </c:pt>
                <c:pt idx="3">
                  <c:v>181.72634378877191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84-4B44-B765-A8F826145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ECH20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ECH20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COROUI!$EY$2:$EY$9</c:f>
              <c:numCache>
                <c:formatCode>General</c:formatCode>
                <c:ptCount val="8"/>
                <c:pt idx="0">
                  <c:v>0</c:v>
                </c:pt>
                <c:pt idx="1">
                  <c:v>7.7499999999999999E-3</c:v>
                </c:pt>
                <c:pt idx="2">
                  <c:v>1.12E-2</c:v>
                </c:pt>
                <c:pt idx="3">
                  <c:v>1.4999999999999999E-2</c:v>
                </c:pt>
                <c:pt idx="4">
                  <c:v>1.925E-2</c:v>
                </c:pt>
                <c:pt idx="5">
                  <c:v>2.2749999999999999E-2</c:v>
                </c:pt>
                <c:pt idx="6">
                  <c:v>2.6850000000000002E-2</c:v>
                </c:pt>
                <c:pt idx="7">
                  <c:v>3.1350000000000003E-2</c:v>
                </c:pt>
              </c:numCache>
            </c:numRef>
          </c:xVal>
          <c:yVal>
            <c:numRef>
              <c:f>COROUI!$EZ$2:$EZ$9</c:f>
            </c:numRef>
          </c:yVal>
          <c:smooth val="1"/>
          <c:extLst>
            <c:ext xmlns:c16="http://schemas.microsoft.com/office/drawing/2014/chart" uri="{C3380CC4-5D6E-409C-BE32-E72D297353CC}">
              <c16:uniqueId val="{00000000-9FE2-4BDB-A0FC-E8D543E3B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ECH21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ECH21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COROUI!$FG$3:$FG$7</c:f>
              <c:numCache>
                <c:formatCode>General</c:formatCode>
                <c:ptCount val="5"/>
                <c:pt idx="0">
                  <c:v>5.7000000000000002E-3</c:v>
                </c:pt>
                <c:pt idx="1">
                  <c:v>9.1999999999999998E-3</c:v>
                </c:pt>
                <c:pt idx="2">
                  <c:v>1.2699999999999999E-2</c:v>
                </c:pt>
                <c:pt idx="3">
                  <c:v>1.6250000000000001E-2</c:v>
                </c:pt>
                <c:pt idx="4">
                  <c:v>1.975E-2</c:v>
                </c:pt>
              </c:numCache>
            </c:numRef>
          </c:xVal>
          <c:yVal>
            <c:numRef>
              <c:f>COROUI!$FH$3:$FH$7</c:f>
              <c:numCache>
                <c:formatCode>General</c:formatCode>
                <c:ptCount val="5"/>
                <c:pt idx="0">
                  <c:v>34.904806511256901</c:v>
                </c:pt>
                <c:pt idx="1">
                  <c:v>96.929894340612691</c:v>
                </c:pt>
                <c:pt idx="2">
                  <c:v>192.77162924562265</c:v>
                </c:pt>
                <c:pt idx="3">
                  <c:v>322.01148836643961</c:v>
                </c:pt>
                <c:pt idx="4">
                  <c:v>455.18546236982024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E-46DD-A5D6-3C287BD4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ECH22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COROUI!$FO$2:$FO$11</c:f>
              <c:numCache>
                <c:formatCode>General</c:formatCode>
                <c:ptCount val="10"/>
                <c:pt idx="0">
                  <c:v>2.0000000000000001E-4</c:v>
                </c:pt>
                <c:pt idx="1">
                  <c:v>1.14E-2</c:v>
                </c:pt>
                <c:pt idx="2">
                  <c:v>1.4999999999999999E-2</c:v>
                </c:pt>
                <c:pt idx="3">
                  <c:v>1.8099999999999998E-2</c:v>
                </c:pt>
                <c:pt idx="4">
                  <c:v>2.1499999999999998E-2</c:v>
                </c:pt>
                <c:pt idx="5">
                  <c:v>2.5100000000000001E-2</c:v>
                </c:pt>
                <c:pt idx="6">
                  <c:v>2.8999999999999998E-2</c:v>
                </c:pt>
                <c:pt idx="7">
                  <c:v>2.8999999999999998E-2</c:v>
                </c:pt>
                <c:pt idx="8">
                  <c:v>3.6999999999999998E-2</c:v>
                </c:pt>
                <c:pt idx="9">
                  <c:v>0.04</c:v>
                </c:pt>
              </c:numCache>
            </c:numRef>
          </c:xVal>
          <c:yVal>
            <c:numRef>
              <c:f>COROUI!$FP$2:$FP$11</c:f>
              <c:numCache>
                <c:formatCode>General</c:formatCode>
                <c:ptCount val="10"/>
                <c:pt idx="0">
                  <c:v>0</c:v>
                </c:pt>
                <c:pt idx="1">
                  <c:v>5.1207565717587755</c:v>
                </c:pt>
                <c:pt idx="2">
                  <c:v>6.7667140412526674</c:v>
                </c:pt>
                <c:pt idx="3">
                  <c:v>8.1840663066501858</c:v>
                </c:pt>
                <c:pt idx="4">
                  <c:v>9.7385816945055286</c:v>
                </c:pt>
                <c:pt idx="5">
                  <c:v>11.38453916399942</c:v>
                </c:pt>
                <c:pt idx="6">
                  <c:v>13.167659755951137</c:v>
                </c:pt>
                <c:pt idx="7">
                  <c:v>13.167659755951137</c:v>
                </c:pt>
                <c:pt idx="8">
                  <c:v>16.825343021493119</c:v>
                </c:pt>
                <c:pt idx="9">
                  <c:v>18.196974246071363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1-40E1-9C2F-4B8DFF9AB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ECH1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COSOU!$C$3:$C$12</c:f>
              <c:numCache>
                <c:formatCode>General</c:formatCode>
                <c:ptCount val="10"/>
                <c:pt idx="0">
                  <c:v>1.3850000000000001E-2</c:v>
                </c:pt>
                <c:pt idx="1">
                  <c:v>1.7150000000000002E-2</c:v>
                </c:pt>
                <c:pt idx="2">
                  <c:v>2.035E-2</c:v>
                </c:pt>
                <c:pt idx="3">
                  <c:v>2.4500000000000001E-2</c:v>
                </c:pt>
                <c:pt idx="4">
                  <c:v>2.8249999999999997E-2</c:v>
                </c:pt>
                <c:pt idx="5">
                  <c:v>3.2550000000000003E-2</c:v>
                </c:pt>
                <c:pt idx="6">
                  <c:v>3.635E-2</c:v>
                </c:pt>
                <c:pt idx="7">
                  <c:v>3.9699999999999999E-2</c:v>
                </c:pt>
                <c:pt idx="8">
                  <c:v>4.3200000000000002E-2</c:v>
                </c:pt>
                <c:pt idx="9">
                  <c:v>4.6550000000000001E-2</c:v>
                </c:pt>
              </c:numCache>
            </c:numRef>
          </c:xVal>
          <c:yVal>
            <c:numRef>
              <c:f>COSOU!$D$3:$D$12</c:f>
              <c:numCache>
                <c:formatCode>General</c:formatCode>
                <c:ptCount val="10"/>
                <c:pt idx="0">
                  <c:v>0.91163584593531877</c:v>
                </c:pt>
                <c:pt idx="1">
                  <c:v>2.1142193022755262</c:v>
                </c:pt>
                <c:pt idx="2">
                  <c:v>3.5786556079801342</c:v>
                </c:pt>
                <c:pt idx="3">
                  <c:v>5.334039524089631</c:v>
                </c:pt>
                <c:pt idx="4">
                  <c:v>7.3706727969238539</c:v>
                </c:pt>
                <c:pt idx="5">
                  <c:v>8.7575230731871585</c:v>
                </c:pt>
                <c:pt idx="6">
                  <c:v>10.221959378891766</c:v>
                </c:pt>
                <c:pt idx="7">
                  <c:v>11.7057921919567</c:v>
                </c:pt>
                <c:pt idx="8">
                  <c:v>13.228418019742286</c:v>
                </c:pt>
                <c:pt idx="9">
                  <c:v>14.789836862248521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33-433C-A9C0-A85C9C25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ECH2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COSOU!$K$3:$K$12</c:f>
              <c:numCache>
                <c:formatCode>General</c:formatCode>
                <c:ptCount val="10"/>
                <c:pt idx="0">
                  <c:v>1.1849999999999999E-2</c:v>
                </c:pt>
                <c:pt idx="1">
                  <c:v>1.5049999999999999E-2</c:v>
                </c:pt>
                <c:pt idx="2">
                  <c:v>1.8950000000000002E-2</c:v>
                </c:pt>
                <c:pt idx="3">
                  <c:v>2.2450000000000001E-2</c:v>
                </c:pt>
                <c:pt idx="4">
                  <c:v>2.5500000000000002E-2</c:v>
                </c:pt>
                <c:pt idx="5">
                  <c:v>2.9099999999999997E-2</c:v>
                </c:pt>
                <c:pt idx="6">
                  <c:v>3.2600000000000004E-2</c:v>
                </c:pt>
                <c:pt idx="7">
                  <c:v>3.5749999999999997E-2</c:v>
                </c:pt>
                <c:pt idx="8">
                  <c:v>3.8850000000000003E-2</c:v>
                </c:pt>
                <c:pt idx="9">
                  <c:v>4.1849999999999998E-2</c:v>
                </c:pt>
              </c:numCache>
            </c:numRef>
          </c:xVal>
          <c:yVal>
            <c:numRef>
              <c:f>COSOU!$L$3:$L$12</c:f>
              <c:numCache>
                <c:formatCode>General</c:formatCode>
                <c:ptCount val="10"/>
                <c:pt idx="0">
                  <c:v>1.0141232527176953</c:v>
                </c:pt>
                <c:pt idx="1">
                  <c:v>2.496303391305096</c:v>
                </c:pt>
                <c:pt idx="2">
                  <c:v>4.3607299866860902</c:v>
                </c:pt>
                <c:pt idx="3">
                  <c:v>6.6776115717411315</c:v>
                </c:pt>
                <c:pt idx="4">
                  <c:v>9.2987301326114817</c:v>
                </c:pt>
                <c:pt idx="5">
                  <c:v>11.326976638046872</c:v>
                </c:pt>
                <c:pt idx="6">
                  <c:v>13.277213662503978</c:v>
                </c:pt>
                <c:pt idx="7">
                  <c:v>15.227450686961086</c:v>
                </c:pt>
                <c:pt idx="8">
                  <c:v>17.068474438048597</c:v>
                </c:pt>
                <c:pt idx="9">
                  <c:v>18.971905773918728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78-4F3B-B838-0EE391CF0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ECH3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ECH3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COSOU!$S$3:$S$11</c:f>
              <c:numCache>
                <c:formatCode>General</c:formatCode>
                <c:ptCount val="9"/>
                <c:pt idx="0">
                  <c:v>7.4999999999999997E-3</c:v>
                </c:pt>
                <c:pt idx="1">
                  <c:v>1.095E-2</c:v>
                </c:pt>
                <c:pt idx="2">
                  <c:v>1.095E-2</c:v>
                </c:pt>
                <c:pt idx="3">
                  <c:v>1.7000000000000001E-2</c:v>
                </c:pt>
                <c:pt idx="4">
                  <c:v>2.0499999999999997E-2</c:v>
                </c:pt>
                <c:pt idx="5">
                  <c:v>2.375E-2</c:v>
                </c:pt>
                <c:pt idx="6">
                  <c:v>2.7250000000000003E-2</c:v>
                </c:pt>
                <c:pt idx="7">
                  <c:v>3.1099999999999999E-2</c:v>
                </c:pt>
                <c:pt idx="8">
                  <c:v>3.49E-2</c:v>
                </c:pt>
              </c:numCache>
            </c:numRef>
          </c:xVal>
          <c:yVal>
            <c:numRef>
              <c:f>COSOU!$T$3:$T$11</c:f>
              <c:numCache>
                <c:formatCode>General</c:formatCode>
                <c:ptCount val="9"/>
                <c:pt idx="0">
                  <c:v>2.721585326794679</c:v>
                </c:pt>
                <c:pt idx="1">
                  <c:v>6.8672559990051791</c:v>
                </c:pt>
                <c:pt idx="2">
                  <c:v>11.012926671215677</c:v>
                </c:pt>
                <c:pt idx="3">
                  <c:v>17.943475352239336</c:v>
                </c:pt>
                <c:pt idx="4">
                  <c:v>26.456341083725018</c:v>
                </c:pt>
                <c:pt idx="5">
                  <c:v>33.798292197868811</c:v>
                </c:pt>
                <c:pt idx="6">
                  <c:v>41.630761597655813</c:v>
                </c:pt>
                <c:pt idx="7">
                  <c:v>51.061371218409477</c:v>
                </c:pt>
                <c:pt idx="8">
                  <c:v>51.599359015566563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D-45A3-B6FB-2B595379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ECH4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ECH4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COSOU!$AA$3:$AA$10</c:f>
              <c:numCache>
                <c:formatCode>General</c:formatCode>
                <c:ptCount val="8"/>
                <c:pt idx="0">
                  <c:v>7.7499999999999999E-3</c:v>
                </c:pt>
                <c:pt idx="1">
                  <c:v>1.1050000000000001E-2</c:v>
                </c:pt>
                <c:pt idx="2">
                  <c:v>1.4149999999999999E-2</c:v>
                </c:pt>
                <c:pt idx="3">
                  <c:v>1.7249999999999998E-2</c:v>
                </c:pt>
                <c:pt idx="4">
                  <c:v>2.1100000000000001E-2</c:v>
                </c:pt>
                <c:pt idx="5">
                  <c:v>2.4250000000000001E-2</c:v>
                </c:pt>
                <c:pt idx="6">
                  <c:v>2.7350000000000003E-2</c:v>
                </c:pt>
                <c:pt idx="7">
                  <c:v>3.1350000000000003E-2</c:v>
                </c:pt>
              </c:numCache>
            </c:numRef>
          </c:xVal>
          <c:yVal>
            <c:numRef>
              <c:f>COSOU!$AB$3:$AB$10</c:f>
              <c:numCache>
                <c:formatCode>General</c:formatCode>
                <c:ptCount val="8"/>
                <c:pt idx="0">
                  <c:v>15.083281307827253</c:v>
                </c:pt>
                <c:pt idx="1">
                  <c:v>40.311070397910001</c:v>
                </c:pt>
                <c:pt idx="2">
                  <c:v>75.015965442468286</c:v>
                </c:pt>
                <c:pt idx="3">
                  <c:v>120.53277009706203</c:v>
                </c:pt>
                <c:pt idx="4">
                  <c:v>180.99937569392705</c:v>
                </c:pt>
                <c:pt idx="5">
                  <c:v>237.86201142078022</c:v>
                </c:pt>
                <c:pt idx="6">
                  <c:v>295.25856860985738</c:v>
                </c:pt>
                <c:pt idx="7">
                  <c:v>360.6639477322941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F1-4D6D-93E0-353833CC1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ECH5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ECH5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COSOU!$AI$3:$AI$11</c:f>
              <c:numCache>
                <c:formatCode>General</c:formatCode>
                <c:ptCount val="9"/>
                <c:pt idx="0">
                  <c:v>7.4999999999999997E-3</c:v>
                </c:pt>
                <c:pt idx="1">
                  <c:v>1.12E-2</c:v>
                </c:pt>
                <c:pt idx="2">
                  <c:v>1.4099999999999998E-2</c:v>
                </c:pt>
                <c:pt idx="3">
                  <c:v>1.7100000000000001E-2</c:v>
                </c:pt>
                <c:pt idx="4">
                  <c:v>2.1749999999999999E-2</c:v>
                </c:pt>
                <c:pt idx="5">
                  <c:v>2.5350000000000001E-2</c:v>
                </c:pt>
                <c:pt idx="6">
                  <c:v>2.9449999999999997E-2</c:v>
                </c:pt>
                <c:pt idx="7">
                  <c:v>3.3250000000000002E-2</c:v>
                </c:pt>
                <c:pt idx="8">
                  <c:v>3.6049999999999999E-2</c:v>
                </c:pt>
              </c:numCache>
            </c:numRef>
          </c:xVal>
          <c:yVal>
            <c:numRef>
              <c:f>COSOU!$AJ$3:$AJ$11</c:f>
              <c:numCache>
                <c:formatCode>General</c:formatCode>
                <c:ptCount val="9"/>
                <c:pt idx="0">
                  <c:v>2.8970820955938765</c:v>
                </c:pt>
                <c:pt idx="1">
                  <c:v>7.6632494141515446</c:v>
                </c:pt>
                <c:pt idx="2">
                  <c:v>13.849921502161694</c:v>
                </c:pt>
                <c:pt idx="3">
                  <c:v>21.737461143068895</c:v>
                </c:pt>
                <c:pt idx="4">
                  <c:v>32.166956687206849</c:v>
                </c:pt>
                <c:pt idx="5">
                  <c:v>42.353471152359511</c:v>
                </c:pt>
                <c:pt idx="6">
                  <c:v>53.474528228994075</c:v>
                </c:pt>
                <c:pt idx="7">
                  <c:v>65.268455985895599</c:v>
                </c:pt>
                <c:pt idx="8">
                  <c:v>68.651500239460063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65-49CF-950E-BF9C6F063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ECH6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ECH6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COSOU!$AQ$3:$AQ$11</c:f>
              <c:numCache>
                <c:formatCode>General</c:formatCode>
                <c:ptCount val="9"/>
                <c:pt idx="0">
                  <c:v>7.2499999999999995E-3</c:v>
                </c:pt>
                <c:pt idx="1">
                  <c:v>1.06E-2</c:v>
                </c:pt>
                <c:pt idx="2">
                  <c:v>1.4299999999999998E-2</c:v>
                </c:pt>
                <c:pt idx="3">
                  <c:v>1.8599999999999998E-2</c:v>
                </c:pt>
                <c:pt idx="4">
                  <c:v>2.1999999999999999E-2</c:v>
                </c:pt>
                <c:pt idx="5">
                  <c:v>2.1999999999999999E-2</c:v>
                </c:pt>
                <c:pt idx="6">
                  <c:v>2.8100000000000003E-2</c:v>
                </c:pt>
                <c:pt idx="7">
                  <c:v>3.2250000000000001E-2</c:v>
                </c:pt>
                <c:pt idx="8">
                  <c:v>3.5949999999999996E-2</c:v>
                </c:pt>
              </c:numCache>
            </c:numRef>
          </c:xVal>
          <c:yVal>
            <c:numRef>
              <c:f>COSOU!$AR$3:$AR$11</c:f>
              <c:numCache>
                <c:formatCode>General</c:formatCode>
                <c:ptCount val="9"/>
                <c:pt idx="0">
                  <c:v>2.6309286511109251</c:v>
                </c:pt>
                <c:pt idx="1">
                  <c:v>6.3499574233603191</c:v>
                </c:pt>
                <c:pt idx="2">
                  <c:v>10.783559409491694</c:v>
                </c:pt>
                <c:pt idx="3">
                  <c:v>16.483904820232031</c:v>
                </c:pt>
                <c:pt idx="4">
                  <c:v>23.142427949586843</c:v>
                </c:pt>
                <c:pt idx="5">
                  <c:v>27.153782127515225</c:v>
                </c:pt>
                <c:pt idx="6">
                  <c:v>31.814748318063597</c:v>
                </c:pt>
                <c:pt idx="7">
                  <c:v>36.995404118707945</c:v>
                </c:pt>
                <c:pt idx="8">
                  <c:v>41.981176315566302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48-46EA-8B90-6E8B0B2E6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ECH7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ECH7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COSOU!$AY$2:$AY$11</c:f>
              <c:numCache>
                <c:formatCode>General</c:formatCode>
                <c:ptCount val="10"/>
                <c:pt idx="0">
                  <c:v>0</c:v>
                </c:pt>
                <c:pt idx="1">
                  <c:v>4.0499999999999998E-3</c:v>
                </c:pt>
                <c:pt idx="2">
                  <c:v>8.5000000000000006E-3</c:v>
                </c:pt>
                <c:pt idx="3">
                  <c:v>1.175E-2</c:v>
                </c:pt>
                <c:pt idx="4">
                  <c:v>1.5699999999999999E-2</c:v>
                </c:pt>
                <c:pt idx="5">
                  <c:v>1.925E-2</c:v>
                </c:pt>
                <c:pt idx="6">
                  <c:v>2.24E-2</c:v>
                </c:pt>
                <c:pt idx="7">
                  <c:v>2.5750000000000002E-2</c:v>
                </c:pt>
                <c:pt idx="8">
                  <c:v>2.9499999999999998E-2</c:v>
                </c:pt>
                <c:pt idx="9">
                  <c:v>3.295E-2</c:v>
                </c:pt>
              </c:numCache>
            </c:numRef>
          </c:xVal>
          <c:yVal>
            <c:numRef>
              <c:f>COSOU!$AZ$2:$AZ$11</c:f>
              <c:numCache>
                <c:formatCode>General</c:formatCode>
                <c:ptCount val="10"/>
                <c:pt idx="0">
                  <c:v>0</c:v>
                </c:pt>
                <c:pt idx="1">
                  <c:v>0.76582760538498185</c:v>
                </c:pt>
                <c:pt idx="2">
                  <c:v>1.325139901452665</c:v>
                </c:pt>
                <c:pt idx="3">
                  <c:v>2.0049194612887726</c:v>
                </c:pt>
                <c:pt idx="4">
                  <c:v>2.6158605846857803</c:v>
                </c:pt>
                <c:pt idx="5">
                  <c:v>3.1579632716436885</c:v>
                </c:pt>
                <c:pt idx="6">
                  <c:v>3.7344851768211469</c:v>
                </c:pt>
                <c:pt idx="7">
                  <c:v>4.3798455184377048</c:v>
                </c:pt>
                <c:pt idx="8">
                  <c:v>4.973577032724938</c:v>
                </c:pt>
                <c:pt idx="9">
                  <c:v>4.973577032724938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F5-4898-A920-7ADD32E2D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ECH8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ECH8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COSOU!$BG$3:$BG$7</c:f>
              <c:numCache>
                <c:formatCode>General</c:formatCode>
                <c:ptCount val="5"/>
                <c:pt idx="0">
                  <c:v>8.0499999999999999E-3</c:v>
                </c:pt>
                <c:pt idx="1">
                  <c:v>1.145E-2</c:v>
                </c:pt>
                <c:pt idx="2">
                  <c:v>1.4999999999999999E-2</c:v>
                </c:pt>
                <c:pt idx="3">
                  <c:v>1.9200000000000002E-2</c:v>
                </c:pt>
                <c:pt idx="4">
                  <c:v>2.2850000000000002E-2</c:v>
                </c:pt>
              </c:numCache>
            </c:numRef>
          </c:xVal>
          <c:yVal>
            <c:numRef>
              <c:f>COSOU!$BH$3:$BH$7</c:f>
              <c:numCache>
                <c:formatCode>General</c:formatCode>
                <c:ptCount val="5"/>
                <c:pt idx="0">
                  <c:v>1.8434723658331593</c:v>
                </c:pt>
                <c:pt idx="1">
                  <c:v>4.4184813847747151</c:v>
                </c:pt>
                <c:pt idx="2">
                  <c:v>7.9005958535706835</c:v>
                </c:pt>
                <c:pt idx="3">
                  <c:v>12.304446505283231</c:v>
                </c:pt>
                <c:pt idx="4">
                  <c:v>15.098916520157307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46-4F2D-9DE4-091195324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ECH9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ECH9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COSOU!$BO$2:$BO$11</c:f>
              <c:numCache>
                <c:formatCode>General</c:formatCode>
                <c:ptCount val="10"/>
                <c:pt idx="0">
                  <c:v>0</c:v>
                </c:pt>
                <c:pt idx="1">
                  <c:v>7.7499999999999999E-3</c:v>
                </c:pt>
                <c:pt idx="2">
                  <c:v>1.095E-2</c:v>
                </c:pt>
                <c:pt idx="3">
                  <c:v>1.4249999999999999E-2</c:v>
                </c:pt>
                <c:pt idx="4">
                  <c:v>1.7249999999999998E-2</c:v>
                </c:pt>
                <c:pt idx="5">
                  <c:v>2.1299999999999999E-2</c:v>
                </c:pt>
                <c:pt idx="6">
                  <c:v>2.4750000000000001E-2</c:v>
                </c:pt>
                <c:pt idx="7">
                  <c:v>2.8199999999999996E-2</c:v>
                </c:pt>
                <c:pt idx="8">
                  <c:v>3.1550000000000002E-2</c:v>
                </c:pt>
                <c:pt idx="9">
                  <c:v>3.49E-2</c:v>
                </c:pt>
              </c:numCache>
            </c:numRef>
          </c:xVal>
          <c:yVal>
            <c:numRef>
              <c:f>COSOU!$BP$2:$BP$11</c:f>
              <c:numCache>
                <c:formatCode>General</c:formatCode>
                <c:ptCount val="10"/>
                <c:pt idx="0">
                  <c:v>0</c:v>
                </c:pt>
                <c:pt idx="1">
                  <c:v>40.430489575763779</c:v>
                </c:pt>
                <c:pt idx="2">
                  <c:v>98.747278687349322</c:v>
                </c:pt>
                <c:pt idx="3">
                  <c:v>171.22405493146044</c:v>
                </c:pt>
                <c:pt idx="4">
                  <c:v>255.06608400562496</c:v>
                </c:pt>
                <c:pt idx="5">
                  <c:v>351.76389087116132</c:v>
                </c:pt>
                <c:pt idx="6">
                  <c:v>415.29751734736158</c:v>
                </c:pt>
                <c:pt idx="7">
                  <c:v>470.07430967581575</c:v>
                </c:pt>
                <c:pt idx="8">
                  <c:v>520.37952712031449</c:v>
                </c:pt>
                <c:pt idx="9">
                  <c:v>568.82158836316501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F-4640-8D31-70A09238B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ECH10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ECH10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COSOU!$BW$3:$BW$11</c:f>
              <c:numCache>
                <c:formatCode>General</c:formatCode>
                <c:ptCount val="9"/>
                <c:pt idx="0">
                  <c:v>7.6E-3</c:v>
                </c:pt>
                <c:pt idx="1">
                  <c:v>1.11E-2</c:v>
                </c:pt>
                <c:pt idx="2">
                  <c:v>1.4249999999999999E-2</c:v>
                </c:pt>
                <c:pt idx="3">
                  <c:v>1.7150000000000002E-2</c:v>
                </c:pt>
                <c:pt idx="4">
                  <c:v>2.0999999999999998E-2</c:v>
                </c:pt>
                <c:pt idx="5">
                  <c:v>2.495E-2</c:v>
                </c:pt>
                <c:pt idx="6">
                  <c:v>2.7750000000000004E-2</c:v>
                </c:pt>
                <c:pt idx="7">
                  <c:v>3.0849999999999999E-2</c:v>
                </c:pt>
                <c:pt idx="8">
                  <c:v>3.585E-2</c:v>
                </c:pt>
              </c:numCache>
            </c:numRef>
          </c:xVal>
          <c:yVal>
            <c:numRef>
              <c:f>COSOU!$BX$3:$BX$11</c:f>
              <c:numCache>
                <c:formatCode>General</c:formatCode>
                <c:ptCount val="9"/>
                <c:pt idx="0">
                  <c:v>6.0438315842324615</c:v>
                </c:pt>
                <c:pt idx="1">
                  <c:v>13.726668343849999</c:v>
                </c:pt>
                <c:pt idx="2">
                  <c:v>22.638758985006341</c:v>
                </c:pt>
                <c:pt idx="3">
                  <c:v>32.216695478662871</c:v>
                </c:pt>
                <c:pt idx="4">
                  <c:v>43.484856059435252</c:v>
                </c:pt>
                <c:pt idx="5">
                  <c:v>50.399409143091034</c:v>
                </c:pt>
                <c:pt idx="6">
                  <c:v>56.033489433477236</c:v>
                </c:pt>
                <c:pt idx="7">
                  <c:v>62.179758841171257</c:v>
                </c:pt>
                <c:pt idx="8">
                  <c:v>68.735779542711555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56-414F-A7B7-C83CB1159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fr-CM"/>
              <a:t>ECH11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ECH11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COSOU!$CE$3:$CE$9</c:f>
              <c:numCache>
                <c:formatCode>General</c:formatCode>
                <c:ptCount val="7"/>
                <c:pt idx="0">
                  <c:v>1.005E-2</c:v>
                </c:pt>
                <c:pt idx="1">
                  <c:v>1.3350000000000001E-2</c:v>
                </c:pt>
                <c:pt idx="2">
                  <c:v>1.6650000000000002E-2</c:v>
                </c:pt>
                <c:pt idx="3">
                  <c:v>1.9349999999999999E-2</c:v>
                </c:pt>
                <c:pt idx="4">
                  <c:v>2.2499999999999999E-2</c:v>
                </c:pt>
                <c:pt idx="5">
                  <c:v>2.5500000000000002E-2</c:v>
                </c:pt>
                <c:pt idx="6">
                  <c:v>2.8649999999999998E-2</c:v>
                </c:pt>
              </c:numCache>
            </c:numRef>
          </c:xVal>
          <c:yVal>
            <c:numRef>
              <c:f>COSOU!$CF$3:$CF$9</c:f>
              <c:numCache>
                <c:formatCode>General</c:formatCode>
                <c:ptCount val="7"/>
                <c:pt idx="0">
                  <c:v>4.6273407371301349</c:v>
                </c:pt>
                <c:pt idx="1">
                  <c:v>10.789377397127552</c:v>
                </c:pt>
                <c:pt idx="2">
                  <c:v>17.625750144445441</c:v>
                </c:pt>
                <c:pt idx="3">
                  <c:v>25.089953042027215</c:v>
                </c:pt>
                <c:pt idx="4">
                  <c:v>33.368009838099219</c:v>
                </c:pt>
                <c:pt idx="5">
                  <c:v>37.762820889946433</c:v>
                </c:pt>
                <c:pt idx="6">
                  <c:v>41.43678991741659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CE-4398-9B35-D24B7C20E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ECH12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COSOU!$CM$2:$CM$11</c:f>
            </c:numRef>
          </c:xVal>
          <c:yVal>
            <c:numRef>
              <c:f>COSOU!$CN$2:$CN$11</c:f>
              <c:numCache>
                <c:formatCode>General</c:formatCode>
                <c:ptCount val="10"/>
                <c:pt idx="0">
                  <c:v>0</c:v>
                </c:pt>
                <c:pt idx="1">
                  <c:v>7.1252103525586401</c:v>
                </c:pt>
                <c:pt idx="2">
                  <c:v>11.705702722060623</c:v>
                </c:pt>
                <c:pt idx="3">
                  <c:v>16.867844916261273</c:v>
                </c:pt>
                <c:pt idx="4">
                  <c:v>21.884574654287253</c:v>
                </c:pt>
                <c:pt idx="5">
                  <c:v>26.392360795701901</c:v>
                </c:pt>
                <c:pt idx="6">
                  <c:v>31.699915446077224</c:v>
                </c:pt>
                <c:pt idx="7">
                  <c:v>37.080176324539863</c:v>
                </c:pt>
                <c:pt idx="8">
                  <c:v>41.515256237867185</c:v>
                </c:pt>
                <c:pt idx="9">
                  <c:v>46.531985975893164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B-47F3-AAA6-F853E8E3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ECH13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ECH13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COSOU!$CU$2:$CU$11</c:f>
              <c:numCache>
                <c:formatCode>General</c:formatCode>
                <c:ptCount val="10"/>
                <c:pt idx="0">
                  <c:v>0</c:v>
                </c:pt>
                <c:pt idx="1">
                  <c:v>7.0999999999999995E-3</c:v>
                </c:pt>
                <c:pt idx="2">
                  <c:v>1.055E-2</c:v>
                </c:pt>
                <c:pt idx="3">
                  <c:v>1.315E-2</c:v>
                </c:pt>
                <c:pt idx="4">
                  <c:v>1.6750000000000001E-2</c:v>
                </c:pt>
                <c:pt idx="5">
                  <c:v>1.925E-2</c:v>
                </c:pt>
                <c:pt idx="6">
                  <c:v>2.2499999999999999E-2</c:v>
                </c:pt>
                <c:pt idx="7">
                  <c:v>2.6700000000000002E-2</c:v>
                </c:pt>
                <c:pt idx="8">
                  <c:v>2.9599999999999998E-2</c:v>
                </c:pt>
                <c:pt idx="9">
                  <c:v>3.2750000000000001E-2</c:v>
                </c:pt>
              </c:numCache>
            </c:numRef>
          </c:xVal>
          <c:yVal>
            <c:numRef>
              <c:f>COSOU!$CV$2:$CV$11</c:f>
              <c:numCache>
                <c:formatCode>General</c:formatCode>
                <c:ptCount val="10"/>
                <c:pt idx="0">
                  <c:v>0</c:v>
                </c:pt>
                <c:pt idx="1">
                  <c:v>1.7772562533138303</c:v>
                </c:pt>
                <c:pt idx="2">
                  <c:v>3.11663777755034</c:v>
                </c:pt>
                <c:pt idx="3">
                  <c:v>4.9711660418778152</c:v>
                </c:pt>
                <c:pt idx="4">
                  <c:v>6.2590328921052283</c:v>
                </c:pt>
                <c:pt idx="5">
                  <c:v>7.9332597974008676</c:v>
                </c:pt>
                <c:pt idx="6">
                  <c:v>10.09687610578292</c:v>
                </c:pt>
                <c:pt idx="7">
                  <c:v>11.59080165204672</c:v>
                </c:pt>
                <c:pt idx="8">
                  <c:v>13.21351388333326</c:v>
                </c:pt>
                <c:pt idx="9">
                  <c:v>15.145314158674378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73-40C7-BAC0-4CBA4DADC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ECH14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ECH14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COSOU!$DC$3:$DC$11</c:f>
              <c:numCache>
                <c:formatCode>General</c:formatCode>
                <c:ptCount val="9"/>
                <c:pt idx="0">
                  <c:v>7.3999999999999995E-3</c:v>
                </c:pt>
                <c:pt idx="1">
                  <c:v>1.0749999999999999E-2</c:v>
                </c:pt>
                <c:pt idx="2">
                  <c:v>1.495E-2</c:v>
                </c:pt>
                <c:pt idx="3">
                  <c:v>1.7000000000000001E-2</c:v>
                </c:pt>
                <c:pt idx="4">
                  <c:v>2.0999999999999998E-2</c:v>
                </c:pt>
                <c:pt idx="5">
                  <c:v>2.4750000000000001E-2</c:v>
                </c:pt>
                <c:pt idx="6">
                  <c:v>2.7600000000000003E-2</c:v>
                </c:pt>
                <c:pt idx="7">
                  <c:v>3.075E-2</c:v>
                </c:pt>
                <c:pt idx="8">
                  <c:v>3.4000000000000002E-2</c:v>
                </c:pt>
              </c:numCache>
            </c:numRef>
          </c:xVal>
          <c:yVal>
            <c:numRef>
              <c:f>COSOU!$DD$3:$DD$11</c:f>
              <c:numCache>
                <c:formatCode>General</c:formatCode>
                <c:ptCount val="9"/>
                <c:pt idx="0">
                  <c:v>0.83687261829870108</c:v>
                </c:pt>
                <c:pt idx="1">
                  <c:v>1.8974636593109162</c:v>
                </c:pt>
                <c:pt idx="2">
                  <c:v>3.1900589905445536</c:v>
                </c:pt>
                <c:pt idx="3">
                  <c:v>4.6732292744600725</c:v>
                </c:pt>
                <c:pt idx="4">
                  <c:v>6.239258233454672</c:v>
                </c:pt>
                <c:pt idx="5">
                  <c:v>7.1755612618482685</c:v>
                </c:pt>
                <c:pt idx="6">
                  <c:v>8.0455773501786005</c:v>
                </c:pt>
                <c:pt idx="7">
                  <c:v>8.841020630937761</c:v>
                </c:pt>
                <c:pt idx="8">
                  <c:v>9.6116063091731991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49-406E-B959-62FEAA5E0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ECH15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ECH15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COSOU!$DK$3:$DK$7</c:f>
              <c:numCache>
                <c:formatCode>General</c:formatCode>
                <c:ptCount val="5"/>
                <c:pt idx="0">
                  <c:v>7.4999999999999997E-3</c:v>
                </c:pt>
                <c:pt idx="1">
                  <c:v>1.0749999999999999E-2</c:v>
                </c:pt>
                <c:pt idx="2">
                  <c:v>1.4000000000000002E-2</c:v>
                </c:pt>
                <c:pt idx="3">
                  <c:v>1.755E-2</c:v>
                </c:pt>
                <c:pt idx="4">
                  <c:v>2.07E-2</c:v>
                </c:pt>
              </c:numCache>
            </c:numRef>
          </c:xVal>
          <c:yVal>
            <c:numRef>
              <c:f>COSOU!$DL$3:$DL$7</c:f>
              <c:numCache>
                <c:formatCode>General</c:formatCode>
                <c:ptCount val="5"/>
                <c:pt idx="0">
                  <c:v>5.8330576983536124</c:v>
                </c:pt>
                <c:pt idx="1">
                  <c:v>15.381023651524609</c:v>
                </c:pt>
                <c:pt idx="2">
                  <c:v>28.93718009015647</c:v>
                </c:pt>
                <c:pt idx="3">
                  <c:v>46.664461586828899</c:v>
                </c:pt>
                <c:pt idx="4">
                  <c:v>55.07188553194193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2-4D1E-9F27-FFE1FFA19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ECH16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ECH16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COSOU!$DS$3:$DS$10</c:f>
              <c:numCache>
                <c:formatCode>General</c:formatCode>
                <c:ptCount val="8"/>
                <c:pt idx="0">
                  <c:v>7.6E-3</c:v>
                </c:pt>
                <c:pt idx="1">
                  <c:v>1.12E-2</c:v>
                </c:pt>
                <c:pt idx="2">
                  <c:v>1.4499999999999999E-2</c:v>
                </c:pt>
                <c:pt idx="3">
                  <c:v>1.8249999999999999E-2</c:v>
                </c:pt>
                <c:pt idx="4">
                  <c:v>2.1850000000000001E-2</c:v>
                </c:pt>
                <c:pt idx="5">
                  <c:v>2.52E-2</c:v>
                </c:pt>
                <c:pt idx="6">
                  <c:v>2.8899999999999999E-2</c:v>
                </c:pt>
                <c:pt idx="7">
                  <c:v>3.2600000000000004E-2</c:v>
                </c:pt>
              </c:numCache>
            </c:numRef>
          </c:xVal>
          <c:yVal>
            <c:numRef>
              <c:f>COSOU!$DT$3:$DT$10</c:f>
              <c:numCache>
                <c:formatCode>General</c:formatCode>
                <c:ptCount val="8"/>
                <c:pt idx="0">
                  <c:v>0.36553319542299534</c:v>
                </c:pt>
                <c:pt idx="1">
                  <c:v>0.97269002849847908</c:v>
                </c:pt>
                <c:pt idx="2">
                  <c:v>1.7842976318952992</c:v>
                </c:pt>
                <c:pt idx="3">
                  <c:v>2.8127469613905065</c:v>
                </c:pt>
                <c:pt idx="4">
                  <c:v>3.9217375034365434</c:v>
                </c:pt>
                <c:pt idx="5">
                  <c:v>4.8200817972727181</c:v>
                </c:pt>
                <c:pt idx="6">
                  <c:v>5.5635391438957598</c:v>
                </c:pt>
                <c:pt idx="7">
                  <c:v>6.2016733664138695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BB-495B-923F-8A3AFAC3F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ECH17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ECH17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COSOU!$EA$3:$EA$10</c:f>
              <c:numCache>
                <c:formatCode>General</c:formatCode>
                <c:ptCount val="8"/>
                <c:pt idx="0">
                  <c:v>7.6E-3</c:v>
                </c:pt>
                <c:pt idx="1">
                  <c:v>1.11E-2</c:v>
                </c:pt>
                <c:pt idx="2">
                  <c:v>1.4099999999999998E-2</c:v>
                </c:pt>
                <c:pt idx="3">
                  <c:v>1.7100000000000001E-2</c:v>
                </c:pt>
                <c:pt idx="4">
                  <c:v>2.1350000000000001E-2</c:v>
                </c:pt>
                <c:pt idx="5">
                  <c:v>2.4750000000000001E-2</c:v>
                </c:pt>
                <c:pt idx="6">
                  <c:v>2.8050000000000002E-2</c:v>
                </c:pt>
                <c:pt idx="7">
                  <c:v>3.1350000000000003E-2</c:v>
                </c:pt>
              </c:numCache>
            </c:numRef>
          </c:xVal>
          <c:yVal>
            <c:numRef>
              <c:f>COSOU!$EB$3:$EB$10</c:f>
              <c:numCache>
                <c:formatCode>General</c:formatCode>
                <c:ptCount val="8"/>
                <c:pt idx="0">
                  <c:v>1.0041696113291245</c:v>
                </c:pt>
                <c:pt idx="1">
                  <c:v>2.6963813637541305</c:v>
                </c:pt>
                <c:pt idx="2">
                  <c:v>4.9278693889299632</c:v>
                </c:pt>
                <c:pt idx="3">
                  <c:v>7.4011019501665105</c:v>
                </c:pt>
                <c:pt idx="4">
                  <c:v>10.357823583524489</c:v>
                </c:pt>
                <c:pt idx="5">
                  <c:v>12.68229027641598</c:v>
                </c:pt>
                <c:pt idx="6">
                  <c:v>14.597650831358569</c:v>
                </c:pt>
                <c:pt idx="7">
                  <c:v>15.229905771825054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E1-4ABF-9EA8-D85F1CD59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ECH18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ECH18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COSOU!$EI$2:$EI$11</c:f>
              <c:numCache>
                <c:formatCode>General</c:formatCode>
                <c:ptCount val="10"/>
                <c:pt idx="0">
                  <c:v>0</c:v>
                </c:pt>
                <c:pt idx="1">
                  <c:v>8.150000000000001E-3</c:v>
                </c:pt>
                <c:pt idx="2">
                  <c:v>1.145E-2</c:v>
                </c:pt>
                <c:pt idx="3">
                  <c:v>1.495E-2</c:v>
                </c:pt>
                <c:pt idx="4">
                  <c:v>1.7999999999999999E-2</c:v>
                </c:pt>
                <c:pt idx="5">
                  <c:v>2.0899999999999998E-2</c:v>
                </c:pt>
                <c:pt idx="6">
                  <c:v>2.5100000000000001E-2</c:v>
                </c:pt>
                <c:pt idx="7">
                  <c:v>2.8499999999999998E-2</c:v>
                </c:pt>
                <c:pt idx="8">
                  <c:v>2.8499999999999998E-2</c:v>
                </c:pt>
                <c:pt idx="9">
                  <c:v>3.4749999999999996E-2</c:v>
                </c:pt>
              </c:numCache>
            </c:numRef>
          </c:xVal>
          <c:yVal>
            <c:numRef>
              <c:f>COSOU!$EJ$2:$EJ$11</c:f>
              <c:numCache>
                <c:formatCode>General</c:formatCode>
                <c:ptCount val="10"/>
                <c:pt idx="0">
                  <c:v>0</c:v>
                </c:pt>
                <c:pt idx="1">
                  <c:v>7.2670646304331177</c:v>
                </c:pt>
                <c:pt idx="2">
                  <c:v>18.399589170671085</c:v>
                </c:pt>
                <c:pt idx="3">
                  <c:v>33.629501215302191</c:v>
                </c:pt>
                <c:pt idx="4">
                  <c:v>51.410616800404505</c:v>
                </c:pt>
                <c:pt idx="5">
                  <c:v>71.511008331389732</c:v>
                </c:pt>
                <c:pt idx="6">
                  <c:v>87.591321556177903</c:v>
                </c:pt>
                <c:pt idx="7">
                  <c:v>102.20276001524024</c:v>
                </c:pt>
                <c:pt idx="8">
                  <c:v>112.40757417712503</c:v>
                </c:pt>
                <c:pt idx="9">
                  <c:v>124.77704588850057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39-47F6-A5DD-5A801F976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ECH19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ECH19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COSOU!$EQ$3:$EQ$11</c:f>
              <c:numCache>
                <c:formatCode>General</c:formatCode>
                <c:ptCount val="9"/>
                <c:pt idx="0">
                  <c:v>9.4999999999999998E-3</c:v>
                </c:pt>
                <c:pt idx="1">
                  <c:v>1.3100000000000001E-2</c:v>
                </c:pt>
                <c:pt idx="2">
                  <c:v>1.6250000000000001E-2</c:v>
                </c:pt>
                <c:pt idx="3">
                  <c:v>1.975E-2</c:v>
                </c:pt>
                <c:pt idx="4">
                  <c:v>2.4E-2</c:v>
                </c:pt>
                <c:pt idx="5">
                  <c:v>2.7250000000000003E-2</c:v>
                </c:pt>
                <c:pt idx="6">
                  <c:v>3.0849999999999999E-2</c:v>
                </c:pt>
                <c:pt idx="7">
                  <c:v>3.4449999999999995E-2</c:v>
                </c:pt>
                <c:pt idx="8">
                  <c:v>3.7499999999999999E-2</c:v>
                </c:pt>
              </c:numCache>
            </c:numRef>
          </c:xVal>
          <c:yVal>
            <c:numRef>
              <c:f>COSOU!$ER$3:$ER$11</c:f>
              <c:numCache>
                <c:formatCode>General</c:formatCode>
                <c:ptCount val="9"/>
                <c:pt idx="0">
                  <c:v>0.30103262624170446</c:v>
                </c:pt>
                <c:pt idx="1">
                  <c:v>0.69530544645207848</c:v>
                </c:pt>
                <c:pt idx="2">
                  <c:v>1.1135543165401103</c:v>
                </c:pt>
                <c:pt idx="3">
                  <c:v>1.6223793750548496</c:v>
                </c:pt>
                <c:pt idx="4">
                  <c:v>2.1951405665766766</c:v>
                </c:pt>
                <c:pt idx="5">
                  <c:v>2.5627733313674308</c:v>
                </c:pt>
                <c:pt idx="6">
                  <c:v>2.8957740241126793</c:v>
                </c:pt>
                <c:pt idx="7">
                  <c:v>3.2341027279418517</c:v>
                </c:pt>
                <c:pt idx="8">
                  <c:v>3.2793908221552055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19-4784-8EFC-2CD88A68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ECH20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ECH20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COSOU!$EY$5:$EY$12</c:f>
              <c:numCache>
                <c:formatCode>General</c:formatCode>
                <c:ptCount val="8"/>
                <c:pt idx="0">
                  <c:v>1.1050000000000001E-2</c:v>
                </c:pt>
                <c:pt idx="1">
                  <c:v>1.8249999999999999E-2</c:v>
                </c:pt>
                <c:pt idx="2">
                  <c:v>2.2100000000000002E-2</c:v>
                </c:pt>
                <c:pt idx="3">
                  <c:v>2.5000000000000001E-2</c:v>
                </c:pt>
                <c:pt idx="4">
                  <c:v>2.9099999999999997E-2</c:v>
                </c:pt>
                <c:pt idx="5">
                  <c:v>3.3000000000000002E-2</c:v>
                </c:pt>
                <c:pt idx="6">
                  <c:v>3.6850000000000001E-2</c:v>
                </c:pt>
                <c:pt idx="7">
                  <c:v>3.9850000000000003E-2</c:v>
                </c:pt>
              </c:numCache>
            </c:numRef>
          </c:xVal>
          <c:yVal>
            <c:numRef>
              <c:f>COSOU!$EZ$5:$EZ$12</c:f>
            </c:numRef>
          </c:yVal>
          <c:smooth val="1"/>
          <c:extLst>
            <c:ext xmlns:c16="http://schemas.microsoft.com/office/drawing/2014/chart" uri="{C3380CC4-5D6E-409C-BE32-E72D297353CC}">
              <c16:uniqueId val="{00000000-7BDC-4CD8-878D-B69B7BDE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ECH21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ECH21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COSOU!$FG$3:$FG$9</c:f>
              <c:numCache>
                <c:formatCode>General</c:formatCode>
                <c:ptCount val="7"/>
                <c:pt idx="0">
                  <c:v>8.0000000000000002E-3</c:v>
                </c:pt>
                <c:pt idx="1">
                  <c:v>1.21E-2</c:v>
                </c:pt>
                <c:pt idx="2">
                  <c:v>1.555E-2</c:v>
                </c:pt>
                <c:pt idx="3">
                  <c:v>1.95E-2</c:v>
                </c:pt>
                <c:pt idx="4">
                  <c:v>2.3449999999999999E-2</c:v>
                </c:pt>
                <c:pt idx="5">
                  <c:v>2.7250000000000003E-2</c:v>
                </c:pt>
                <c:pt idx="6">
                  <c:v>3.0550000000000001E-2</c:v>
                </c:pt>
              </c:numCache>
            </c:numRef>
          </c:xVal>
          <c:yVal>
            <c:numRef>
              <c:f>COSOU!$FH$3:$FH$9</c:f>
              <c:numCache>
                <c:formatCode>General</c:formatCode>
                <c:ptCount val="7"/>
                <c:pt idx="0">
                  <c:v>1.2789092159283748</c:v>
                </c:pt>
                <c:pt idx="1">
                  <c:v>3.4200044201230697</c:v>
                </c:pt>
                <c:pt idx="2">
                  <c:v>6.2508484149308208</c:v>
                </c:pt>
                <c:pt idx="3">
                  <c:v>9.8145504997649446</c:v>
                </c:pt>
                <c:pt idx="4">
                  <c:v>14.269178105807597</c:v>
                </c:pt>
                <c:pt idx="5">
                  <c:v>18.249603418303774</c:v>
                </c:pt>
                <c:pt idx="6">
                  <c:v>21.353472976062527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BF-4195-8384-9E2BD65A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3"/>
  <c:chart>
    <c:title>
      <c:tx>
        <c:rich>
          <a:bodyPr/>
          <a:lstStyle/>
          <a:p>
            <a:pPr>
              <a:defRPr/>
            </a:pPr>
            <a:r>
              <a:t>ECH22 — Def/Cont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ECH22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COSOU!$FO$3:$FO$10</c:f>
              <c:numCache>
                <c:formatCode>General</c:formatCode>
                <c:ptCount val="8"/>
                <c:pt idx="0">
                  <c:v>4.5999999999999999E-3</c:v>
                </c:pt>
                <c:pt idx="1">
                  <c:v>9.2999999999999992E-3</c:v>
                </c:pt>
                <c:pt idx="2">
                  <c:v>1.315E-2</c:v>
                </c:pt>
                <c:pt idx="3">
                  <c:v>1.685E-2</c:v>
                </c:pt>
                <c:pt idx="4">
                  <c:v>2.035E-2</c:v>
                </c:pt>
                <c:pt idx="5">
                  <c:v>2.3699999999999999E-2</c:v>
                </c:pt>
                <c:pt idx="6">
                  <c:v>2.6850000000000002E-2</c:v>
                </c:pt>
                <c:pt idx="7">
                  <c:v>2.9849999999999998E-2</c:v>
                </c:pt>
              </c:numCache>
            </c:numRef>
          </c:xVal>
          <c:yVal>
            <c:numRef>
              <c:f>COSOU!$FP$3:$FP$10</c:f>
              <c:numCache>
                <c:formatCode>General</c:formatCode>
                <c:ptCount val="8"/>
                <c:pt idx="0">
                  <c:v>9.6976658217184042</c:v>
                </c:pt>
                <c:pt idx="1">
                  <c:v>28.638419379762162</c:v>
                </c:pt>
                <c:pt idx="2">
                  <c:v>55.155474361023423</c:v>
                </c:pt>
                <c:pt idx="3">
                  <c:v>86.369836224679531</c:v>
                </c:pt>
                <c:pt idx="4">
                  <c:v>120.46319262915831</c:v>
                </c:pt>
                <c:pt idx="5">
                  <c:v>150.61687229356397</c:v>
                </c:pt>
                <c:pt idx="6">
                  <c:v>168.34541762389293</c:v>
                </c:pt>
                <c:pt idx="7">
                  <c:v>179.25529167332613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48-49F9-8167-C54313FEA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M"/>
              <a:t>Cont(max)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RECCAPITULATIF!$B$29:$C$29</c:f>
              <c:strCache>
                <c:ptCount val="2"/>
                <c:pt idx="0">
                  <c:v>COROUI</c:v>
                </c:pt>
                <c:pt idx="1">
                  <c:v>COSOU</c:v>
                </c:pt>
              </c:strCache>
            </c:strRef>
          </c:cat>
          <c:val>
            <c:numRef>
              <c:f>RECCAPITULATIF!$B$30</c:f>
              <c:numCache>
                <c:formatCode>General</c:formatCode>
                <c:ptCount val="1"/>
                <c:pt idx="0">
                  <c:v>162.39016295935423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8-4417-B640-6377C5F1DD4C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RECCAPITULATIF!$B$29:$C$29</c:f>
              <c:strCache>
                <c:ptCount val="2"/>
                <c:pt idx="0">
                  <c:v>COROUI</c:v>
                </c:pt>
                <c:pt idx="1">
                  <c:v>COSOU</c:v>
                </c:pt>
              </c:strCache>
            </c:strRef>
          </c:cat>
          <c:val>
            <c:numRef>
              <c:f>RECCAPITULATIF!$C$30</c:f>
              <c:numCache>
                <c:formatCode>General</c:formatCode>
                <c:ptCount val="1"/>
                <c:pt idx="0">
                  <c:v>99.362792324307421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8-4417-B640-6377C5F1D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Cont(max)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M"/>
              <a:t>Def rupt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RECCAPITULATIF!$F$29:$G$29</c:f>
              <c:strCache>
                <c:ptCount val="2"/>
                <c:pt idx="0">
                  <c:v>COROUI</c:v>
                </c:pt>
                <c:pt idx="1">
                  <c:v>COSOU</c:v>
                </c:pt>
              </c:strCache>
            </c:strRef>
          </c:cat>
          <c:val>
            <c:numRef>
              <c:f>RECCAPITULATIF!$F$30</c:f>
              <c:numCache>
                <c:formatCode>General</c:formatCode>
                <c:ptCount val="1"/>
                <c:pt idx="0">
                  <c:v>3.4563636363636359E-2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4-4367-A960-CC4E8A668526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RECCAPITULATIF!$F$29:$G$29</c:f>
              <c:strCache>
                <c:ptCount val="2"/>
                <c:pt idx="0">
                  <c:v>COROUI</c:v>
                </c:pt>
                <c:pt idx="1">
                  <c:v>COSOU</c:v>
                </c:pt>
              </c:strCache>
            </c:strRef>
          </c:cat>
          <c:val>
            <c:numRef>
              <c:f>RECCAPITULATIF!$G$30</c:f>
              <c:numCache>
                <c:formatCode>General</c:formatCode>
                <c:ptCount val="1"/>
                <c:pt idx="0">
                  <c:v>3.8127272727272725E-2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4-4367-A960-CC4E8A668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Def rupt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CM"/>
              <a:t>E(mpa)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RECCAPITULATIF!$J$29:$K$29</c:f>
              <c:strCache>
                <c:ptCount val="2"/>
                <c:pt idx="0">
                  <c:v>COROUI</c:v>
                </c:pt>
                <c:pt idx="1">
                  <c:v>COSOU</c:v>
                </c:pt>
              </c:strCache>
            </c:strRef>
          </c:cat>
          <c:val>
            <c:numRef>
              <c:f>RECCAPITULATIF!$J$30</c:f>
              <c:numCache>
                <c:formatCode>General</c:formatCode>
                <c:ptCount val="1"/>
                <c:pt idx="0">
                  <c:v>6529.9269637961725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A-4A25-BB65-2E05201D3AD4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RECCAPITULATIF!$J$29:$K$29</c:f>
              <c:strCache>
                <c:ptCount val="2"/>
                <c:pt idx="0">
                  <c:v>COROUI</c:v>
                </c:pt>
                <c:pt idx="1">
                  <c:v>COSOU</c:v>
                </c:pt>
              </c:strCache>
            </c:strRef>
          </c:cat>
          <c:val>
            <c:numRef>
              <c:f>RECCAPITULATIF!$K$30</c:f>
              <c:numCache>
                <c:formatCode>General</c:formatCode>
                <c:ptCount val="1"/>
                <c:pt idx="0">
                  <c:v>3025.6382570764986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A-4A25-BB65-2E05201D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M"/>
                  <a:t>E(mpa)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chart" Target="../charts/chart40.xml"/><Relationship Id="rId3" Type="http://schemas.openxmlformats.org/officeDocument/2006/relationships/chart" Target="../charts/chart25.xml"/><Relationship Id="rId21" Type="http://schemas.openxmlformats.org/officeDocument/2006/relationships/chart" Target="../charts/chart43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chart" Target="../charts/chart39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20" Type="http://schemas.openxmlformats.org/officeDocument/2006/relationships/chart" Target="../charts/chart42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19" Type="http://schemas.openxmlformats.org/officeDocument/2006/relationships/chart" Target="../charts/chart41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chart" Target="../charts/chart4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32</xdr:col>
      <xdr:colOff>0</xdr:colOff>
      <xdr:row>7</xdr:row>
      <xdr:rowOff>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40</xdr:col>
      <xdr:colOff>0</xdr:colOff>
      <xdr:row>7</xdr:row>
      <xdr:rowOff>0</xdr:rowOff>
    </xdr:from>
    <xdr:ext cx="360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48</xdr:col>
      <xdr:colOff>0</xdr:colOff>
      <xdr:row>7</xdr:row>
      <xdr:rowOff>0</xdr:rowOff>
    </xdr:from>
    <xdr:ext cx="360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56</xdr:col>
      <xdr:colOff>0</xdr:colOff>
      <xdr:row>7</xdr:row>
      <xdr:rowOff>0</xdr:rowOff>
    </xdr:from>
    <xdr:ext cx="360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64</xdr:col>
      <xdr:colOff>0</xdr:colOff>
      <xdr:row>7</xdr:row>
      <xdr:rowOff>0</xdr:rowOff>
    </xdr:from>
    <xdr:ext cx="360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72</xdr:col>
      <xdr:colOff>0</xdr:colOff>
      <xdr:row>7</xdr:row>
      <xdr:rowOff>0</xdr:rowOff>
    </xdr:from>
    <xdr:ext cx="360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7</xdr:row>
      <xdr:rowOff>0</xdr:rowOff>
    </xdr:from>
    <xdr:ext cx="360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88</xdr:col>
      <xdr:colOff>0</xdr:colOff>
      <xdr:row>7</xdr:row>
      <xdr:rowOff>0</xdr:rowOff>
    </xdr:from>
    <xdr:ext cx="360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96</xdr:col>
      <xdr:colOff>0</xdr:colOff>
      <xdr:row>7</xdr:row>
      <xdr:rowOff>0</xdr:rowOff>
    </xdr:from>
    <xdr:ext cx="360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104</xdr:col>
      <xdr:colOff>0</xdr:colOff>
      <xdr:row>7</xdr:row>
      <xdr:rowOff>0</xdr:rowOff>
    </xdr:from>
    <xdr:ext cx="360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112</xdr:col>
      <xdr:colOff>0</xdr:colOff>
      <xdr:row>7</xdr:row>
      <xdr:rowOff>0</xdr:rowOff>
    </xdr:from>
    <xdr:ext cx="3600000" cy="252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120</xdr:col>
      <xdr:colOff>0</xdr:colOff>
      <xdr:row>7</xdr:row>
      <xdr:rowOff>0</xdr:rowOff>
    </xdr:from>
    <xdr:ext cx="3600000" cy="252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128</xdr:col>
      <xdr:colOff>0</xdr:colOff>
      <xdr:row>7</xdr:row>
      <xdr:rowOff>0</xdr:rowOff>
    </xdr:from>
    <xdr:ext cx="3600000" cy="252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136</xdr:col>
      <xdr:colOff>0</xdr:colOff>
      <xdr:row>7</xdr:row>
      <xdr:rowOff>0</xdr:rowOff>
    </xdr:from>
    <xdr:ext cx="3600000" cy="252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144</xdr:col>
      <xdr:colOff>0</xdr:colOff>
      <xdr:row>7</xdr:row>
      <xdr:rowOff>0</xdr:rowOff>
    </xdr:from>
    <xdr:ext cx="3600000" cy="252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152</xdr:col>
      <xdr:colOff>0</xdr:colOff>
      <xdr:row>7</xdr:row>
      <xdr:rowOff>0</xdr:rowOff>
    </xdr:from>
    <xdr:ext cx="3600000" cy="252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160</xdr:col>
      <xdr:colOff>0</xdr:colOff>
      <xdr:row>7</xdr:row>
      <xdr:rowOff>0</xdr:rowOff>
    </xdr:from>
    <xdr:ext cx="3600000" cy="252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168</xdr:col>
      <xdr:colOff>0</xdr:colOff>
      <xdr:row>7</xdr:row>
      <xdr:rowOff>0</xdr:rowOff>
    </xdr:from>
    <xdr:ext cx="3600000" cy="252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32</xdr:col>
      <xdr:colOff>0</xdr:colOff>
      <xdr:row>7</xdr:row>
      <xdr:rowOff>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40</xdr:col>
      <xdr:colOff>0</xdr:colOff>
      <xdr:row>7</xdr:row>
      <xdr:rowOff>0</xdr:rowOff>
    </xdr:from>
    <xdr:ext cx="360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48</xdr:col>
      <xdr:colOff>0</xdr:colOff>
      <xdr:row>7</xdr:row>
      <xdr:rowOff>0</xdr:rowOff>
    </xdr:from>
    <xdr:ext cx="360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56</xdr:col>
      <xdr:colOff>0</xdr:colOff>
      <xdr:row>7</xdr:row>
      <xdr:rowOff>0</xdr:rowOff>
    </xdr:from>
    <xdr:ext cx="360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64</xdr:col>
      <xdr:colOff>0</xdr:colOff>
      <xdr:row>7</xdr:row>
      <xdr:rowOff>0</xdr:rowOff>
    </xdr:from>
    <xdr:ext cx="360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72</xdr:col>
      <xdr:colOff>0</xdr:colOff>
      <xdr:row>7</xdr:row>
      <xdr:rowOff>0</xdr:rowOff>
    </xdr:from>
    <xdr:ext cx="360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7</xdr:row>
      <xdr:rowOff>0</xdr:rowOff>
    </xdr:from>
    <xdr:ext cx="360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88</xdr:col>
      <xdr:colOff>0</xdr:colOff>
      <xdr:row>7</xdr:row>
      <xdr:rowOff>0</xdr:rowOff>
    </xdr:from>
    <xdr:ext cx="360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96</xdr:col>
      <xdr:colOff>0</xdr:colOff>
      <xdr:row>7</xdr:row>
      <xdr:rowOff>0</xdr:rowOff>
    </xdr:from>
    <xdr:ext cx="360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104</xdr:col>
      <xdr:colOff>0</xdr:colOff>
      <xdr:row>7</xdr:row>
      <xdr:rowOff>0</xdr:rowOff>
    </xdr:from>
    <xdr:ext cx="360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112</xdr:col>
      <xdr:colOff>0</xdr:colOff>
      <xdr:row>7</xdr:row>
      <xdr:rowOff>0</xdr:rowOff>
    </xdr:from>
    <xdr:ext cx="3600000" cy="252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120</xdr:col>
      <xdr:colOff>0</xdr:colOff>
      <xdr:row>7</xdr:row>
      <xdr:rowOff>0</xdr:rowOff>
    </xdr:from>
    <xdr:ext cx="3600000" cy="252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128</xdr:col>
      <xdr:colOff>0</xdr:colOff>
      <xdr:row>7</xdr:row>
      <xdr:rowOff>0</xdr:rowOff>
    </xdr:from>
    <xdr:ext cx="3600000" cy="252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136</xdr:col>
      <xdr:colOff>0</xdr:colOff>
      <xdr:row>7</xdr:row>
      <xdr:rowOff>0</xdr:rowOff>
    </xdr:from>
    <xdr:ext cx="3600000" cy="252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144</xdr:col>
      <xdr:colOff>0</xdr:colOff>
      <xdr:row>7</xdr:row>
      <xdr:rowOff>0</xdr:rowOff>
    </xdr:from>
    <xdr:ext cx="3600000" cy="252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152</xdr:col>
      <xdr:colOff>0</xdr:colOff>
      <xdr:row>7</xdr:row>
      <xdr:rowOff>0</xdr:rowOff>
    </xdr:from>
    <xdr:ext cx="3600000" cy="252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160</xdr:col>
      <xdr:colOff>0</xdr:colOff>
      <xdr:row>7</xdr:row>
      <xdr:rowOff>0</xdr:rowOff>
    </xdr:from>
    <xdr:ext cx="3600000" cy="252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168</xdr:col>
      <xdr:colOff>0</xdr:colOff>
      <xdr:row>7</xdr:row>
      <xdr:rowOff>0</xdr:rowOff>
    </xdr:from>
    <xdr:ext cx="3600000" cy="252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33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33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4.42578125" defaultRowHeight="15" customHeight="1" x14ac:dyDescent="0.25"/>
  <cols>
    <col min="1" max="6" width="10.7109375" customWidth="1"/>
    <col min="7" max="7" width="18.28515625" customWidth="1"/>
    <col min="8" max="14" width="10.7109375" customWidth="1"/>
    <col min="15" max="15" width="18.28515625" customWidth="1"/>
    <col min="16" max="26" width="10.7109375" customWidth="1"/>
  </cols>
  <sheetData>
    <row r="1" spans="1:15" x14ac:dyDescent="0.25">
      <c r="B1" s="6" t="s">
        <v>0</v>
      </c>
      <c r="C1" s="5"/>
      <c r="D1" s="5"/>
      <c r="E1" s="5"/>
      <c r="F1" s="5"/>
      <c r="J1" s="5" t="s">
        <v>1</v>
      </c>
      <c r="K1" s="5"/>
      <c r="L1" s="5"/>
      <c r="M1" s="5"/>
      <c r="N1" s="5"/>
    </row>
    <row r="2" spans="1:15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x14ac:dyDescent="0.25">
      <c r="A3" s="2" t="s">
        <v>8</v>
      </c>
      <c r="B3" s="2">
        <v>0.20499999999999999</v>
      </c>
      <c r="C3" s="2">
        <v>0.13100000000000001</v>
      </c>
      <c r="D3" s="2">
        <v>0.18</v>
      </c>
      <c r="E3" s="3">
        <f t="shared" ref="E3:E24" si="0">AVERAGE(B3:D3)</f>
        <v>0.17200000000000001</v>
      </c>
      <c r="F3" s="3">
        <f t="shared" ref="F3:F24" si="1">3.14159265358979*E3*E3/4</f>
        <v>2.323521926595009E-2</v>
      </c>
      <c r="G3" s="4">
        <f>AVERAGE(E3:E24)</f>
        <v>0.19634848484848486</v>
      </c>
      <c r="I3" s="2" t="s">
        <v>8</v>
      </c>
      <c r="J3" s="2">
        <v>0.47699999999999998</v>
      </c>
      <c r="K3" s="2">
        <v>0.25</v>
      </c>
      <c r="L3" s="2">
        <v>0.36</v>
      </c>
      <c r="M3" s="3">
        <f t="shared" ref="M3:M24" si="2">AVERAGE(J3:L3)</f>
        <v>0.36233333333333334</v>
      </c>
      <c r="N3" s="3">
        <f t="shared" ref="N3:N24" si="3">3.14159265358979*M3*M3/4</f>
        <v>0.10311134694748431</v>
      </c>
      <c r="O3" s="4">
        <f>AVERAGE(M3:M24)</f>
        <v>0.26569696969696965</v>
      </c>
    </row>
    <row r="4" spans="1:15" x14ac:dyDescent="0.25">
      <c r="A4" s="2" t="s">
        <v>9</v>
      </c>
      <c r="B4" s="2">
        <v>0.16400000000000001</v>
      </c>
      <c r="C4" s="2">
        <v>0.13500000000000001</v>
      </c>
      <c r="D4" s="2">
        <v>0.311</v>
      </c>
      <c r="E4" s="3">
        <f t="shared" si="0"/>
        <v>0.20333333333333337</v>
      </c>
      <c r="F4" s="3">
        <f t="shared" si="1"/>
        <v>3.2471850733354478E-2</v>
      </c>
      <c r="I4" s="2" t="s">
        <v>9</v>
      </c>
      <c r="J4" s="2">
        <v>0.38</v>
      </c>
      <c r="K4" s="2">
        <v>0.39600000000000002</v>
      </c>
      <c r="L4" s="2">
        <v>0.436</v>
      </c>
      <c r="M4" s="3">
        <f t="shared" si="2"/>
        <v>0.40399999999999997</v>
      </c>
      <c r="N4" s="3">
        <f t="shared" si="3"/>
        <v>0.12818954663707777</v>
      </c>
    </row>
    <row r="5" spans="1:15" x14ac:dyDescent="0.25">
      <c r="A5" s="2" t="s">
        <v>10</v>
      </c>
      <c r="B5" s="2">
        <v>0.16600000000000001</v>
      </c>
      <c r="C5" s="2">
        <v>0.17699999999999999</v>
      </c>
      <c r="D5" s="2">
        <v>0.221</v>
      </c>
      <c r="E5" s="3">
        <f t="shared" si="0"/>
        <v>0.18799999999999997</v>
      </c>
      <c r="F5" s="3">
        <f t="shared" si="1"/>
        <v>2.7759112687119378E-2</v>
      </c>
      <c r="I5" s="2" t="s">
        <v>10</v>
      </c>
      <c r="J5" s="2">
        <v>0.28899999999999998</v>
      </c>
      <c r="K5" s="2">
        <v>0.23</v>
      </c>
      <c r="L5" s="2">
        <v>0.33200000000000002</v>
      </c>
      <c r="M5" s="3">
        <f t="shared" si="2"/>
        <v>0.28366666666666668</v>
      </c>
      <c r="N5" s="3">
        <f t="shared" si="3"/>
        <v>6.3198459481177222E-2</v>
      </c>
    </row>
    <row r="6" spans="1:15" x14ac:dyDescent="0.25">
      <c r="A6" s="2" t="s">
        <v>11</v>
      </c>
      <c r="B6" s="2">
        <v>0.30499999999999999</v>
      </c>
      <c r="C6" s="2">
        <v>0.34899999999999998</v>
      </c>
      <c r="D6" s="2">
        <v>0.35199999999999998</v>
      </c>
      <c r="E6" s="3">
        <f t="shared" si="0"/>
        <v>0.33533333333333326</v>
      </c>
      <c r="F6" s="3">
        <f t="shared" si="1"/>
        <v>8.8316801743566528E-2</v>
      </c>
      <c r="I6" s="2" t="s">
        <v>11</v>
      </c>
      <c r="J6" s="2">
        <v>0.10100000000000001</v>
      </c>
      <c r="K6" s="2">
        <v>7.4999999999999997E-2</v>
      </c>
      <c r="L6" s="2">
        <v>0.11700000000000001</v>
      </c>
      <c r="M6" s="3">
        <f t="shared" si="2"/>
        <v>9.7666666666666666E-2</v>
      </c>
      <c r="N6" s="3">
        <f t="shared" si="3"/>
        <v>7.4917385477230522E-3</v>
      </c>
    </row>
    <row r="7" spans="1:15" x14ac:dyDescent="0.25">
      <c r="A7" s="2" t="s">
        <v>12</v>
      </c>
      <c r="B7" s="2">
        <v>0.20599999999999999</v>
      </c>
      <c r="C7" s="2">
        <v>0.38700000000000001</v>
      </c>
      <c r="D7" s="2">
        <v>0.23400000000000001</v>
      </c>
      <c r="E7" s="3">
        <f t="shared" si="0"/>
        <v>0.27566666666666667</v>
      </c>
      <c r="F7" s="3">
        <f t="shared" si="1"/>
        <v>5.9684064499361436E-2</v>
      </c>
      <c r="I7" s="2" t="s">
        <v>12</v>
      </c>
      <c r="J7" s="2">
        <v>0.25700000000000001</v>
      </c>
      <c r="K7" s="2">
        <v>0.28599999999999998</v>
      </c>
      <c r="L7" s="2">
        <v>0.24</v>
      </c>
      <c r="M7" s="3">
        <f t="shared" si="2"/>
        <v>0.26099999999999995</v>
      </c>
      <c r="N7" s="3">
        <f t="shared" si="3"/>
        <v>5.3502108288797506E-2</v>
      </c>
    </row>
    <row r="8" spans="1:15" x14ac:dyDescent="0.25">
      <c r="A8" s="2" t="s">
        <v>13</v>
      </c>
      <c r="B8" s="2">
        <v>0.26800000000000002</v>
      </c>
      <c r="C8" s="2">
        <v>0.224</v>
      </c>
      <c r="D8" s="2">
        <v>0.24199999999999999</v>
      </c>
      <c r="E8" s="3">
        <f t="shared" si="0"/>
        <v>0.24466666666666667</v>
      </c>
      <c r="F8" s="3">
        <f t="shared" si="1"/>
        <v>4.7015330324372807E-2</v>
      </c>
      <c r="I8" s="2" t="s">
        <v>13</v>
      </c>
      <c r="J8" s="2">
        <v>0.23499999999999999</v>
      </c>
      <c r="K8" s="2">
        <v>0.28100000000000003</v>
      </c>
      <c r="L8" s="2">
        <v>0.32400000000000001</v>
      </c>
      <c r="M8" s="3">
        <f t="shared" si="2"/>
        <v>0.28000000000000003</v>
      </c>
      <c r="N8" s="3">
        <f t="shared" si="3"/>
        <v>6.1575216010359896E-2</v>
      </c>
    </row>
    <row r="9" spans="1:15" x14ac:dyDescent="0.25">
      <c r="A9" s="2" t="s">
        <v>14</v>
      </c>
      <c r="B9" s="2">
        <v>0.17699999999999999</v>
      </c>
      <c r="C9" s="2">
        <v>0.23699999999999999</v>
      </c>
      <c r="D9" s="2">
        <v>0.27</v>
      </c>
      <c r="E9" s="3">
        <f t="shared" si="0"/>
        <v>0.22799999999999998</v>
      </c>
      <c r="F9" s="3">
        <f t="shared" si="1"/>
        <v>4.0828138126052904E-2</v>
      </c>
      <c r="I9" s="2" t="s">
        <v>14</v>
      </c>
      <c r="J9" s="2">
        <v>0.41199999999999998</v>
      </c>
      <c r="K9" s="2">
        <v>0.36</v>
      </c>
      <c r="L9" s="2">
        <v>0.38200000000000001</v>
      </c>
      <c r="M9" s="3">
        <f t="shared" si="2"/>
        <v>0.38466666666666666</v>
      </c>
      <c r="N9" s="3">
        <f t="shared" si="3"/>
        <v>0.11621414450744391</v>
      </c>
    </row>
    <row r="10" spans="1:15" x14ac:dyDescent="0.25">
      <c r="A10" s="2" t="s">
        <v>15</v>
      </c>
      <c r="B10" s="2">
        <v>0.219</v>
      </c>
      <c r="C10" s="2">
        <v>4.9000000000000002E-2</v>
      </c>
      <c r="D10" s="2">
        <v>0.26400000000000001</v>
      </c>
      <c r="E10" s="3">
        <f t="shared" si="0"/>
        <v>0.17733333333333334</v>
      </c>
      <c r="F10" s="3">
        <f t="shared" si="1"/>
        <v>2.4698503310822132E-2</v>
      </c>
      <c r="I10" s="2" t="s">
        <v>15</v>
      </c>
      <c r="J10" s="2">
        <v>0.32700000000000001</v>
      </c>
      <c r="K10" s="2">
        <v>0.29599999999999999</v>
      </c>
      <c r="L10" s="2">
        <v>0.26200000000000001</v>
      </c>
      <c r="M10" s="3">
        <f t="shared" si="2"/>
        <v>0.29499999999999998</v>
      </c>
      <c r="N10" s="3">
        <f t="shared" si="3"/>
        <v>6.8349275169662854E-2</v>
      </c>
    </row>
    <row r="11" spans="1:15" x14ac:dyDescent="0.25">
      <c r="A11" s="2" t="s">
        <v>16</v>
      </c>
      <c r="B11" s="2">
        <v>0.54300000000000004</v>
      </c>
      <c r="C11" s="2">
        <v>0.41599999999999998</v>
      </c>
      <c r="D11" s="2">
        <v>0.35399999999999998</v>
      </c>
      <c r="E11" s="3">
        <f t="shared" si="0"/>
        <v>0.4376666666666667</v>
      </c>
      <c r="F11" s="3">
        <f t="shared" si="1"/>
        <v>0.15044467626157049</v>
      </c>
      <c r="I11" s="2" t="s">
        <v>16</v>
      </c>
      <c r="J11" s="2">
        <v>7.6999999999999999E-2</v>
      </c>
      <c r="K11" s="2">
        <v>7.9000000000000001E-2</v>
      </c>
      <c r="L11" s="2">
        <v>9.1999999999999998E-2</v>
      </c>
      <c r="M11" s="3">
        <f t="shared" si="2"/>
        <v>8.2666666666666666E-2</v>
      </c>
      <c r="N11" s="3">
        <f t="shared" si="3"/>
        <v>5.3672365157329564E-3</v>
      </c>
    </row>
    <row r="12" spans="1:15" x14ac:dyDescent="0.25">
      <c r="A12" s="2" t="s">
        <v>17</v>
      </c>
      <c r="B12" s="2">
        <v>0.24199999999999999</v>
      </c>
      <c r="C12" s="2">
        <v>0.06</v>
      </c>
      <c r="D12" s="2">
        <v>0.221</v>
      </c>
      <c r="E12" s="3">
        <f t="shared" si="0"/>
        <v>0.17433333333333334</v>
      </c>
      <c r="F12" s="3">
        <f t="shared" si="1"/>
        <v>2.3869908248437825E-2</v>
      </c>
      <c r="I12" s="2" t="s">
        <v>17</v>
      </c>
      <c r="J12" s="2">
        <v>9.9000000000000005E-2</v>
      </c>
      <c r="K12" s="2">
        <v>0.26100000000000001</v>
      </c>
      <c r="L12" s="2">
        <v>0.113</v>
      </c>
      <c r="M12" s="3">
        <f t="shared" si="2"/>
        <v>0.15766666666666665</v>
      </c>
      <c r="N12" s="3">
        <f t="shared" si="3"/>
        <v>1.9524038410971944E-2</v>
      </c>
    </row>
    <row r="13" spans="1:15" x14ac:dyDescent="0.25">
      <c r="A13" s="2" t="s">
        <v>18</v>
      </c>
      <c r="B13" s="2">
        <v>0.36</v>
      </c>
      <c r="C13" s="2">
        <v>0.49399999999999999</v>
      </c>
      <c r="D13" s="2">
        <v>0.20499999999999999</v>
      </c>
      <c r="E13" s="3">
        <f t="shared" si="0"/>
        <v>0.35299999999999998</v>
      </c>
      <c r="F13" s="3">
        <f t="shared" si="1"/>
        <v>9.7867679742792521E-2</v>
      </c>
      <c r="I13" s="2" t="s">
        <v>18</v>
      </c>
      <c r="J13" s="2">
        <v>0.39400000000000002</v>
      </c>
      <c r="K13" s="2">
        <v>0.187</v>
      </c>
      <c r="L13" s="2">
        <v>0.121</v>
      </c>
      <c r="M13" s="3">
        <f t="shared" si="2"/>
        <v>0.23399999999999999</v>
      </c>
      <c r="N13" s="3">
        <f t="shared" si="3"/>
        <v>4.3005261834990628E-2</v>
      </c>
    </row>
    <row r="14" spans="1:15" x14ac:dyDescent="0.25">
      <c r="A14" s="2" t="s">
        <v>19</v>
      </c>
      <c r="B14" s="2">
        <v>0.152</v>
      </c>
      <c r="C14" s="2">
        <v>0.15</v>
      </c>
      <c r="D14" s="2">
        <v>0.161</v>
      </c>
      <c r="E14" s="3">
        <f t="shared" si="0"/>
        <v>0.15433333333333332</v>
      </c>
      <c r="F14" s="3">
        <f t="shared" si="1"/>
        <v>1.87072243210386E-2</v>
      </c>
      <c r="I14" s="2" t="s">
        <v>19</v>
      </c>
      <c r="J14" s="2">
        <v>0.11799999999999999</v>
      </c>
      <c r="K14" s="2">
        <v>0.106</v>
      </c>
      <c r="L14" s="2">
        <v>0.17299999999999999</v>
      </c>
      <c r="M14" s="3">
        <f t="shared" si="2"/>
        <v>0.13233333333333333</v>
      </c>
      <c r="N14" s="3">
        <f t="shared" si="3"/>
        <v>1.3753979903878699E-2</v>
      </c>
    </row>
    <row r="15" spans="1:15" x14ac:dyDescent="0.25">
      <c r="A15" s="2" t="s">
        <v>20</v>
      </c>
      <c r="B15" s="2">
        <v>0.13900000000000001</v>
      </c>
      <c r="C15" s="2">
        <v>0.19</v>
      </c>
      <c r="D15" s="2">
        <v>0.25800000000000001</v>
      </c>
      <c r="E15" s="3">
        <f t="shared" si="0"/>
        <v>0.19566666666666666</v>
      </c>
      <c r="F15" s="3">
        <f t="shared" si="1"/>
        <v>3.0069317751521676E-2</v>
      </c>
      <c r="I15" s="2" t="s">
        <v>20</v>
      </c>
      <c r="J15" s="2">
        <v>0.252</v>
      </c>
      <c r="K15" s="2">
        <v>0.32</v>
      </c>
      <c r="L15" s="2">
        <v>9.5000000000000001E-2</v>
      </c>
      <c r="M15" s="3">
        <f t="shared" si="2"/>
        <v>0.22233333333333336</v>
      </c>
      <c r="N15" s="3">
        <f t="shared" si="3"/>
        <v>3.8823889279525237E-2</v>
      </c>
    </row>
    <row r="16" spans="1:15" x14ac:dyDescent="0.25">
      <c r="A16" s="2" t="s">
        <v>21</v>
      </c>
      <c r="B16" s="2">
        <v>0.11799999999999999</v>
      </c>
      <c r="C16" s="2">
        <v>0.156</v>
      </c>
      <c r="D16" s="2">
        <v>0.16300000000000001</v>
      </c>
      <c r="E16" s="3">
        <f t="shared" si="0"/>
        <v>0.14566666666666669</v>
      </c>
      <c r="F16" s="3">
        <f t="shared" si="1"/>
        <v>1.6665189096205246E-2</v>
      </c>
      <c r="I16" s="2" t="s">
        <v>21</v>
      </c>
      <c r="J16" s="2">
        <v>0.30299999999999999</v>
      </c>
      <c r="K16" s="2">
        <v>0.438</v>
      </c>
      <c r="L16" s="2">
        <v>0.435</v>
      </c>
      <c r="M16" s="3">
        <f t="shared" si="2"/>
        <v>0.39199999999999996</v>
      </c>
      <c r="N16" s="3">
        <f t="shared" si="3"/>
        <v>0.12068742338030534</v>
      </c>
    </row>
    <row r="17" spans="1:14" x14ac:dyDescent="0.25">
      <c r="A17" s="2" t="s">
        <v>22</v>
      </c>
      <c r="B17" s="2">
        <v>9.8000000000000004E-2</v>
      </c>
      <c r="C17" s="2">
        <v>9.0999999999999998E-2</v>
      </c>
      <c r="D17" s="2">
        <v>0.10100000000000001</v>
      </c>
      <c r="E17" s="3">
        <f t="shared" si="0"/>
        <v>9.6666666666666679E-2</v>
      </c>
      <c r="F17" s="3">
        <f t="shared" si="1"/>
        <v>7.3391095046361505E-3</v>
      </c>
      <c r="I17" s="2" t="s">
        <v>22</v>
      </c>
      <c r="J17" s="2">
        <v>0.253</v>
      </c>
      <c r="K17" s="2">
        <v>0.17199999999999999</v>
      </c>
      <c r="L17" s="2">
        <v>0.16800000000000001</v>
      </c>
      <c r="M17" s="3">
        <f t="shared" si="2"/>
        <v>0.19766666666666666</v>
      </c>
      <c r="N17" s="3">
        <f t="shared" si="3"/>
        <v>3.0687164306727664E-2</v>
      </c>
    </row>
    <row r="18" spans="1:14" x14ac:dyDescent="0.25">
      <c r="A18" s="2" t="s">
        <v>23</v>
      </c>
      <c r="B18" s="2">
        <v>9.9000000000000005E-2</v>
      </c>
      <c r="C18" s="2">
        <v>8.3000000000000004E-2</v>
      </c>
      <c r="D18" s="2">
        <v>0.127</v>
      </c>
      <c r="E18" s="3">
        <f t="shared" si="0"/>
        <v>0.10299999999999999</v>
      </c>
      <c r="F18" s="3">
        <f t="shared" si="1"/>
        <v>8.3322891154835182E-3</v>
      </c>
      <c r="I18" s="2" t="s">
        <v>23</v>
      </c>
      <c r="J18" s="2">
        <v>0.47299999999999998</v>
      </c>
      <c r="K18" s="2">
        <v>0.5</v>
      </c>
      <c r="L18" s="2">
        <v>0.38700000000000001</v>
      </c>
      <c r="M18" s="3">
        <f t="shared" si="2"/>
        <v>0.45333333333333331</v>
      </c>
      <c r="N18" s="3">
        <f t="shared" si="3"/>
        <v>0.16140804922443541</v>
      </c>
    </row>
    <row r="19" spans="1:14" x14ac:dyDescent="0.25">
      <c r="A19" s="2" t="s">
        <v>24</v>
      </c>
      <c r="B19" s="2">
        <v>7.3999999999999996E-2</v>
      </c>
      <c r="C19" s="2">
        <v>0.11799999999999999</v>
      </c>
      <c r="D19" s="2">
        <v>0.22500000000000001</v>
      </c>
      <c r="E19" s="3">
        <f t="shared" si="0"/>
        <v>0.13900000000000001</v>
      </c>
      <c r="F19" s="3">
        <f t="shared" si="1"/>
        <v>1.5174677915002086E-2</v>
      </c>
      <c r="I19" s="2" t="s">
        <v>24</v>
      </c>
      <c r="J19" s="2">
        <v>0.318</v>
      </c>
      <c r="K19" s="2">
        <v>0.16700000000000001</v>
      </c>
      <c r="L19" s="2">
        <v>0.3</v>
      </c>
      <c r="M19" s="3">
        <f t="shared" si="2"/>
        <v>0.26166666666666666</v>
      </c>
      <c r="N19" s="3">
        <f t="shared" si="3"/>
        <v>5.3775775915510228E-2</v>
      </c>
    </row>
    <row r="20" spans="1:14" x14ac:dyDescent="0.25">
      <c r="A20" s="2" t="s">
        <v>25</v>
      </c>
      <c r="B20" s="2">
        <v>0.158</v>
      </c>
      <c r="C20" s="2">
        <v>0.09</v>
      </c>
      <c r="D20" s="2">
        <v>9.7000000000000003E-2</v>
      </c>
      <c r="E20" s="3">
        <f t="shared" si="0"/>
        <v>0.11499999999999999</v>
      </c>
      <c r="F20" s="3">
        <f t="shared" si="1"/>
        <v>1.0386890710931242E-2</v>
      </c>
      <c r="I20" s="2" t="s">
        <v>25</v>
      </c>
      <c r="J20" s="2">
        <v>9.9000000000000005E-2</v>
      </c>
      <c r="K20" s="2">
        <v>0.14599999999999999</v>
      </c>
      <c r="L20" s="2">
        <v>0.14000000000000001</v>
      </c>
      <c r="M20" s="3">
        <f t="shared" si="2"/>
        <v>0.12833333333333333</v>
      </c>
      <c r="N20" s="3">
        <f t="shared" si="3"/>
        <v>1.293507141884296E-2</v>
      </c>
    </row>
    <row r="21" spans="1:14" ht="15.75" customHeight="1" x14ac:dyDescent="0.25">
      <c r="A21" s="2" t="s">
        <v>26</v>
      </c>
      <c r="B21" s="2">
        <v>0.21</v>
      </c>
      <c r="C21" s="2">
        <v>9.8000000000000004E-2</v>
      </c>
      <c r="D21" s="2">
        <v>0.19</v>
      </c>
      <c r="E21" s="3">
        <f t="shared" si="0"/>
        <v>0.16600000000000001</v>
      </c>
      <c r="F21" s="3">
        <f t="shared" si="1"/>
        <v>2.1642431790580067E-2</v>
      </c>
      <c r="I21" s="2" t="s">
        <v>26</v>
      </c>
      <c r="J21" s="2">
        <v>0.66</v>
      </c>
      <c r="K21" s="2">
        <v>0.72899999999999998</v>
      </c>
      <c r="L21" s="2">
        <v>0.68500000000000005</v>
      </c>
      <c r="M21" s="3">
        <f t="shared" si="2"/>
        <v>0.69133333333333324</v>
      </c>
      <c r="N21" s="3">
        <f t="shared" si="3"/>
        <v>0.37537459447757759</v>
      </c>
    </row>
    <row r="22" spans="1:14" ht="15.75" customHeight="1" x14ac:dyDescent="0.25">
      <c r="A22" s="2" t="s">
        <v>27</v>
      </c>
      <c r="B22" s="2">
        <v>9.0999999999999998E-2</v>
      </c>
      <c r="C22" s="2">
        <v>0.04</v>
      </c>
      <c r="D22" s="2">
        <v>3.5999999999999997E-2</v>
      </c>
      <c r="E22" s="3">
        <f t="shared" si="0"/>
        <v>5.566666666666667E-2</v>
      </c>
      <c r="F22" s="3">
        <f t="shared" si="1"/>
        <v>2.4337743754434906E-3</v>
      </c>
      <c r="I22" s="2" t="s">
        <v>27</v>
      </c>
      <c r="J22" s="2">
        <v>0.109</v>
      </c>
      <c r="K22" s="2">
        <v>0.14599999999999999</v>
      </c>
      <c r="L22" s="2">
        <v>0.14799999999999999</v>
      </c>
      <c r="M22" s="3">
        <f t="shared" si="2"/>
        <v>0.13433333333333333</v>
      </c>
      <c r="N22" s="3">
        <f t="shared" si="3"/>
        <v>1.4172858924357339E-2</v>
      </c>
    </row>
    <row r="23" spans="1:14" ht="15.75" customHeight="1" x14ac:dyDescent="0.25">
      <c r="A23" s="2" t="s">
        <v>28</v>
      </c>
      <c r="B23" s="2">
        <v>0.108</v>
      </c>
      <c r="C23" s="2">
        <v>0.11600000000000001</v>
      </c>
      <c r="D23" s="2">
        <v>0.14599999999999999</v>
      </c>
      <c r="E23" s="3">
        <f t="shared" si="0"/>
        <v>0.12333333333333334</v>
      </c>
      <c r="F23" s="3">
        <f t="shared" si="1"/>
        <v>1.1946778729901174E-2</v>
      </c>
      <c r="I23" s="2" t="s">
        <v>28</v>
      </c>
      <c r="J23" s="2">
        <v>0.36799999999999999</v>
      </c>
      <c r="K23" s="2">
        <v>0.30199999999999999</v>
      </c>
      <c r="L23" s="2">
        <v>0.223</v>
      </c>
      <c r="M23" s="3">
        <f t="shared" si="2"/>
        <v>0.29766666666666663</v>
      </c>
      <c r="N23" s="3">
        <f t="shared" si="3"/>
        <v>6.9590553333681221E-2</v>
      </c>
    </row>
    <row r="24" spans="1:14" ht="15.75" customHeight="1" x14ac:dyDescent="0.25">
      <c r="A24" s="2" t="s">
        <v>29</v>
      </c>
      <c r="B24" s="2">
        <v>0.224</v>
      </c>
      <c r="C24" s="2">
        <v>0.29099999999999998</v>
      </c>
      <c r="D24" s="2">
        <v>0.193</v>
      </c>
      <c r="E24" s="3">
        <f t="shared" si="0"/>
        <v>0.23599999999999999</v>
      </c>
      <c r="F24" s="3">
        <f t="shared" si="1"/>
        <v>4.3743536108584231E-2</v>
      </c>
      <c r="I24" s="2" t="s">
        <v>29</v>
      </c>
      <c r="J24" s="2">
        <v>8.6999999999999994E-2</v>
      </c>
      <c r="K24" s="2">
        <v>0.13800000000000001</v>
      </c>
      <c r="L24" s="2">
        <v>0.05</v>
      </c>
      <c r="M24" s="3">
        <f t="shared" si="2"/>
        <v>9.1666666666666674E-2</v>
      </c>
      <c r="N24" s="3">
        <f t="shared" si="3"/>
        <v>6.599526234103553E-3</v>
      </c>
    </row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J1:N1"/>
    <mergeCell ref="B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S1000"/>
  <sheetViews>
    <sheetView workbookViewId="0"/>
  </sheetViews>
  <sheetFormatPr baseColWidth="10" defaultColWidth="14.42578125" defaultRowHeight="15" customHeight="1" x14ac:dyDescent="0.25"/>
  <cols>
    <col min="1" max="24" width="9.140625" customWidth="1"/>
    <col min="25" max="25" width="9.140625" hidden="1" customWidth="1"/>
    <col min="26" max="33" width="9.140625" customWidth="1"/>
    <col min="34" max="34" width="9.140625" hidden="1" customWidth="1"/>
    <col min="35" max="90" width="9.140625" customWidth="1"/>
    <col min="91" max="91" width="9.140625" hidden="1" customWidth="1"/>
    <col min="92" max="155" width="9.140625" customWidth="1"/>
    <col min="156" max="156" width="9.140625" hidden="1" customWidth="1"/>
    <col min="157" max="172" width="9.140625" customWidth="1"/>
    <col min="173" max="173" width="9.140625" hidden="1" customWidth="1"/>
    <col min="174" max="180" width="9.140625" customWidth="1"/>
  </cols>
  <sheetData>
    <row r="1" spans="1:175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32</v>
      </c>
      <c r="F1" s="2" t="s">
        <v>33</v>
      </c>
      <c r="G1" s="2" t="s">
        <v>34</v>
      </c>
      <c r="I1" s="2" t="s">
        <v>41</v>
      </c>
      <c r="J1" s="2" t="s">
        <v>42</v>
      </c>
      <c r="K1" s="2" t="s">
        <v>39</v>
      </c>
      <c r="L1" s="2" t="s">
        <v>40</v>
      </c>
      <c r="M1" s="2" t="s">
        <v>32</v>
      </c>
      <c r="N1" s="2" t="s">
        <v>33</v>
      </c>
      <c r="O1" s="2" t="s">
        <v>34</v>
      </c>
      <c r="Q1" s="2" t="s">
        <v>43</v>
      </c>
      <c r="R1" s="2" t="s">
        <v>44</v>
      </c>
      <c r="S1" s="2" t="s">
        <v>39</v>
      </c>
      <c r="T1" s="2" t="s">
        <v>40</v>
      </c>
      <c r="U1" s="2" t="s">
        <v>32</v>
      </c>
      <c r="V1" s="2" t="s">
        <v>33</v>
      </c>
      <c r="W1" s="2" t="s">
        <v>34</v>
      </c>
      <c r="Y1" s="2" t="s">
        <v>45</v>
      </c>
      <c r="Z1" s="2" t="s">
        <v>46</v>
      </c>
      <c r="AA1" s="2" t="s">
        <v>39</v>
      </c>
      <c r="AB1" s="2" t="s">
        <v>40</v>
      </c>
      <c r="AC1" s="2" t="s">
        <v>32</v>
      </c>
      <c r="AD1" s="2" t="s">
        <v>33</v>
      </c>
      <c r="AE1" s="2" t="s">
        <v>34</v>
      </c>
      <c r="AG1" s="2" t="s">
        <v>47</v>
      </c>
      <c r="AH1" s="2" t="s">
        <v>48</v>
      </c>
      <c r="AI1" s="2" t="s">
        <v>39</v>
      </c>
      <c r="AJ1" s="2" t="s">
        <v>40</v>
      </c>
      <c r="AK1" s="2" t="s">
        <v>32</v>
      </c>
      <c r="AL1" s="2" t="s">
        <v>33</v>
      </c>
      <c r="AM1" s="2" t="s">
        <v>34</v>
      </c>
      <c r="AO1" s="2" t="s">
        <v>49</v>
      </c>
      <c r="AP1" s="2" t="s">
        <v>50</v>
      </c>
      <c r="AQ1" s="2" t="s">
        <v>39</v>
      </c>
      <c r="AR1" s="2" t="s">
        <v>40</v>
      </c>
      <c r="AS1" s="2" t="s">
        <v>32</v>
      </c>
      <c r="AT1" s="2" t="s">
        <v>33</v>
      </c>
      <c r="AU1" s="2" t="s">
        <v>34</v>
      </c>
      <c r="AW1" s="2" t="s">
        <v>51</v>
      </c>
      <c r="AX1" s="2" t="s">
        <v>52</v>
      </c>
      <c r="AY1" s="2" t="s">
        <v>39</v>
      </c>
      <c r="AZ1" s="2" t="s">
        <v>40</v>
      </c>
      <c r="BA1" s="2" t="s">
        <v>32</v>
      </c>
      <c r="BB1" s="2" t="s">
        <v>33</v>
      </c>
      <c r="BC1" s="2" t="s">
        <v>34</v>
      </c>
      <c r="BE1" s="2" t="s">
        <v>53</v>
      </c>
      <c r="BF1" s="2" t="s">
        <v>54</v>
      </c>
      <c r="BG1" s="2" t="s">
        <v>39</v>
      </c>
      <c r="BH1" s="2" t="s">
        <v>40</v>
      </c>
      <c r="BI1" s="2" t="s">
        <v>32</v>
      </c>
      <c r="BJ1" s="2" t="s">
        <v>33</v>
      </c>
      <c r="BK1" s="2" t="s">
        <v>34</v>
      </c>
      <c r="BM1" s="2" t="s">
        <v>55</v>
      </c>
      <c r="BN1" s="2" t="s">
        <v>56</v>
      </c>
      <c r="BO1" s="2" t="s">
        <v>39</v>
      </c>
      <c r="BP1" s="2" t="s">
        <v>40</v>
      </c>
      <c r="BQ1" s="2" t="s">
        <v>32</v>
      </c>
      <c r="BR1" s="2" t="s">
        <v>33</v>
      </c>
      <c r="BS1" s="2" t="s">
        <v>34</v>
      </c>
      <c r="BU1" s="2" t="s">
        <v>57</v>
      </c>
      <c r="BV1" s="2" t="s">
        <v>58</v>
      </c>
      <c r="BW1" s="2" t="s">
        <v>39</v>
      </c>
      <c r="BX1" s="2" t="s">
        <v>40</v>
      </c>
      <c r="BY1" s="2" t="s">
        <v>32</v>
      </c>
      <c r="BZ1" s="2" t="s">
        <v>33</v>
      </c>
      <c r="CA1" s="2" t="s">
        <v>34</v>
      </c>
      <c r="CC1" s="2" t="s">
        <v>59</v>
      </c>
      <c r="CD1" s="2" t="s">
        <v>60</v>
      </c>
      <c r="CE1" s="2" t="s">
        <v>39</v>
      </c>
      <c r="CF1" s="2" t="s">
        <v>40</v>
      </c>
      <c r="CG1" s="2" t="s">
        <v>32</v>
      </c>
      <c r="CH1" s="2" t="s">
        <v>33</v>
      </c>
      <c r="CI1" s="2" t="s">
        <v>34</v>
      </c>
      <c r="CK1" s="2" t="s">
        <v>61</v>
      </c>
      <c r="CL1" s="2" t="s">
        <v>62</v>
      </c>
      <c r="CM1" s="2" t="s">
        <v>39</v>
      </c>
      <c r="CN1" s="2" t="s">
        <v>40</v>
      </c>
      <c r="CO1" s="2" t="s">
        <v>32</v>
      </c>
      <c r="CP1" s="2" t="s">
        <v>33</v>
      </c>
      <c r="CQ1" s="2" t="s">
        <v>34</v>
      </c>
      <c r="CS1" s="2" t="s">
        <v>63</v>
      </c>
      <c r="CT1" s="2" t="s">
        <v>64</v>
      </c>
      <c r="CU1" s="2" t="s">
        <v>39</v>
      </c>
      <c r="CV1" s="2" t="s">
        <v>40</v>
      </c>
      <c r="CW1" s="2" t="s">
        <v>32</v>
      </c>
      <c r="CX1" s="2" t="s">
        <v>33</v>
      </c>
      <c r="CY1" s="2" t="s">
        <v>34</v>
      </c>
      <c r="DA1" s="2" t="s">
        <v>65</v>
      </c>
      <c r="DB1" s="2" t="s">
        <v>66</v>
      </c>
      <c r="DC1" s="2" t="s">
        <v>39</v>
      </c>
      <c r="DD1" s="2" t="s">
        <v>40</v>
      </c>
      <c r="DE1" s="2" t="s">
        <v>32</v>
      </c>
      <c r="DF1" s="2" t="s">
        <v>33</v>
      </c>
      <c r="DG1" s="2" t="s">
        <v>34</v>
      </c>
      <c r="DI1" s="2" t="s">
        <v>67</v>
      </c>
      <c r="DJ1" s="2" t="s">
        <v>68</v>
      </c>
      <c r="DK1" s="2" t="s">
        <v>39</v>
      </c>
      <c r="DL1" s="2" t="s">
        <v>40</v>
      </c>
      <c r="DM1" s="2" t="s">
        <v>32</v>
      </c>
      <c r="DN1" s="2" t="s">
        <v>33</v>
      </c>
      <c r="DO1" s="2" t="s">
        <v>34</v>
      </c>
      <c r="DQ1" s="2" t="s">
        <v>69</v>
      </c>
      <c r="DR1" s="2" t="s">
        <v>70</v>
      </c>
      <c r="DS1" s="2" t="s">
        <v>39</v>
      </c>
      <c r="DT1" s="2" t="s">
        <v>40</v>
      </c>
      <c r="DU1" s="2" t="s">
        <v>32</v>
      </c>
      <c r="DV1" s="2" t="s">
        <v>33</v>
      </c>
      <c r="DW1" s="2" t="s">
        <v>34</v>
      </c>
      <c r="DY1" s="2" t="s">
        <v>71</v>
      </c>
      <c r="DZ1" s="2" t="s">
        <v>72</v>
      </c>
      <c r="EA1" s="2" t="s">
        <v>39</v>
      </c>
      <c r="EB1" s="2" t="s">
        <v>40</v>
      </c>
      <c r="EC1" s="2" t="s">
        <v>32</v>
      </c>
      <c r="ED1" s="2" t="s">
        <v>33</v>
      </c>
      <c r="EE1" s="2" t="s">
        <v>34</v>
      </c>
      <c r="EG1" s="2" t="s">
        <v>73</v>
      </c>
      <c r="EH1" s="2" t="s">
        <v>74</v>
      </c>
      <c r="EI1" s="2" t="s">
        <v>39</v>
      </c>
      <c r="EJ1" s="2" t="s">
        <v>40</v>
      </c>
      <c r="EK1" s="2" t="s">
        <v>32</v>
      </c>
      <c r="EL1" s="2" t="s">
        <v>33</v>
      </c>
      <c r="EM1" s="2" t="s">
        <v>34</v>
      </c>
      <c r="EO1" s="2" t="s">
        <v>75</v>
      </c>
      <c r="EP1" s="2" t="s">
        <v>76</v>
      </c>
      <c r="EQ1" s="2" t="s">
        <v>39</v>
      </c>
      <c r="ER1" s="2" t="s">
        <v>40</v>
      </c>
      <c r="ES1" s="2" t="s">
        <v>32</v>
      </c>
      <c r="ET1" s="2" t="s">
        <v>33</v>
      </c>
      <c r="EU1" s="2" t="s">
        <v>34</v>
      </c>
      <c r="EW1" s="2" t="s">
        <v>77</v>
      </c>
      <c r="EX1" s="2" t="s">
        <v>78</v>
      </c>
      <c r="EY1" s="2" t="s">
        <v>39</v>
      </c>
      <c r="EZ1" s="2" t="s">
        <v>40</v>
      </c>
      <c r="FA1" s="2" t="s">
        <v>32</v>
      </c>
      <c r="FB1" s="2" t="s">
        <v>33</v>
      </c>
      <c r="FC1" s="2" t="s">
        <v>34</v>
      </c>
      <c r="FE1" s="2" t="s">
        <v>79</v>
      </c>
      <c r="FF1" s="2" t="s">
        <v>80</v>
      </c>
      <c r="FG1" s="2" t="s">
        <v>39</v>
      </c>
      <c r="FH1" s="2" t="s">
        <v>40</v>
      </c>
      <c r="FI1" s="2" t="s">
        <v>32</v>
      </c>
      <c r="FJ1" s="2" t="s">
        <v>33</v>
      </c>
      <c r="FK1" s="2" t="s">
        <v>34</v>
      </c>
      <c r="FM1" s="2" t="s">
        <v>81</v>
      </c>
      <c r="FN1" s="2" t="s">
        <v>82</v>
      </c>
      <c r="FO1" s="2" t="s">
        <v>39</v>
      </c>
      <c r="FP1" s="2" t="s">
        <v>40</v>
      </c>
      <c r="FQ1" s="2" t="s">
        <v>32</v>
      </c>
      <c r="FR1" s="2" t="s">
        <v>33</v>
      </c>
      <c r="FS1" s="2" t="s">
        <v>34</v>
      </c>
    </row>
    <row r="2" spans="1:175" x14ac:dyDescent="0.25">
      <c r="A2" s="2">
        <v>0</v>
      </c>
      <c r="B2" s="2">
        <v>0</v>
      </c>
      <c r="C2" s="2">
        <f t="shared" ref="C2:C10" si="0">A2/20</f>
        <v>0</v>
      </c>
      <c r="D2" s="2">
        <f>B2/'DIAMETRE (CR,CS)'!$F$3</f>
        <v>0</v>
      </c>
      <c r="E2" s="2">
        <f>MAX(D2:D10)</f>
        <v>22.508933271244278</v>
      </c>
      <c r="F2" s="2">
        <f>INDEX(C2:C10,MATCH(E2,D2:D10,0))</f>
        <v>1.4249999999999999E-2</v>
      </c>
      <c r="G2" s="2">
        <f>SLOPE(D2:D6,C2:C6)</f>
        <v>1433.282394217247</v>
      </c>
      <c r="I2" s="2">
        <v>0</v>
      </c>
      <c r="J2" s="2">
        <v>0</v>
      </c>
      <c r="K2" s="2">
        <f t="shared" ref="K2:K11" si="1">I2/20</f>
        <v>0</v>
      </c>
      <c r="L2" s="2">
        <f>J2/'DIAMETRE (CR,CS)'!$F$4</f>
        <v>0</v>
      </c>
      <c r="M2" s="2">
        <f>MAX(L2:L11)</f>
        <v>78.252392229369676</v>
      </c>
      <c r="N2" s="2">
        <f>INDEX(K2:K11,MATCH(M2,L2:L11,0))</f>
        <v>2.2950000000000002E-2</v>
      </c>
      <c r="O2" s="2">
        <f>SLOPE(L4:L7,K4:K7)</f>
        <v>5798.34268138074</v>
      </c>
      <c r="Q2" s="2">
        <v>0</v>
      </c>
      <c r="R2" s="2">
        <v>0</v>
      </c>
      <c r="S2" s="2">
        <f t="shared" ref="S2:S14" si="2">Q2/20</f>
        <v>0</v>
      </c>
      <c r="T2" s="2">
        <f>R2/'DIAMETRE (CR,CS)'!$F$5</f>
        <v>0</v>
      </c>
      <c r="U2" s="2">
        <f>MAX(T2:T14)</f>
        <v>51.586663310908648</v>
      </c>
      <c r="V2" s="2">
        <f>INDEX(S2:S14,MATCH(U2,T2:T14,0))</f>
        <v>2.8100000000000003E-2</v>
      </c>
      <c r="W2" s="2">
        <f>SLOPE(T3:T6,S3:S6)</f>
        <v>2098.1405113305541</v>
      </c>
      <c r="Y2" s="2">
        <v>0</v>
      </c>
      <c r="Z2" s="2">
        <v>0</v>
      </c>
      <c r="AA2" s="2">
        <f t="shared" ref="AA2:AA14" si="3">Y2/20</f>
        <v>0</v>
      </c>
      <c r="AB2" s="2">
        <f>Z2/'DIAMETRE (CR,CS)'!$F$6</f>
        <v>0</v>
      </c>
      <c r="AC2" s="2">
        <f>MAX(AB2:AB14)</f>
        <v>9.3074022583690166</v>
      </c>
      <c r="AD2" s="2">
        <f>INDEX(AA2:AA14,MATCH(AC2,AB2:AB14,0))</f>
        <v>4.1849999999999998E-2</v>
      </c>
      <c r="AE2" s="2">
        <f>SLOPE(AB2:AB11,AA2:AA11)</f>
        <v>210.4270144524302</v>
      </c>
      <c r="AG2" s="2">
        <v>0</v>
      </c>
      <c r="AH2" s="2">
        <v>0</v>
      </c>
      <c r="AI2" s="2">
        <f t="shared" ref="AI2:AI12" si="4">AG2/20</f>
        <v>0</v>
      </c>
      <c r="AJ2" s="2">
        <f>AH2/'DIAMETRE (CR,CS)'!$F$7</f>
        <v>0</v>
      </c>
      <c r="AK2" s="2">
        <f>MAX(AJ2:AJ12)</f>
        <v>11.761933539353887</v>
      </c>
      <c r="AL2" s="2">
        <f>INDEX(AI2:AI12,MATCH(AK2,AJ2:AJ12,0))</f>
        <v>3.925E-2</v>
      </c>
      <c r="AM2" s="2">
        <f>SLOPE(AJ2:AJ11,AI2:AI11)</f>
        <v>310.10971273268069</v>
      </c>
      <c r="AO2" s="2">
        <v>0</v>
      </c>
      <c r="AP2" s="2">
        <v>0</v>
      </c>
      <c r="AQ2" s="2">
        <f t="shared" ref="AQ2:AQ15" si="5">AO2/20</f>
        <v>0</v>
      </c>
      <c r="AR2" s="2">
        <f>AP2/'DIAMETRE (CR,CS)'!$F$8</f>
        <v>0</v>
      </c>
      <c r="AS2" s="2">
        <f>MAX(AR2:AR15)</f>
        <v>80.569464765332</v>
      </c>
      <c r="AT2" s="2">
        <f>INDEX(AQ2:AQ15,MATCH(AS2,AR2:AR15,0))</f>
        <v>2.1749999999999999E-2</v>
      </c>
      <c r="AU2" s="2">
        <f>SLOPE(AR3:AR7,AQ3:AQ7)</f>
        <v>3926.827786301772</v>
      </c>
      <c r="AW2" s="2">
        <v>0</v>
      </c>
      <c r="AX2" s="2">
        <v>0</v>
      </c>
      <c r="AY2" s="2">
        <f t="shared" ref="AY2:AY14" si="6">AW2/20</f>
        <v>0</v>
      </c>
      <c r="AZ2" s="2">
        <f>AX2/'DIAMETRE (CR,CS)'!$F$9</f>
        <v>0</v>
      </c>
      <c r="BA2" s="2">
        <f>MAX(AZ2:AZ14)</f>
        <v>103.36008923481057</v>
      </c>
      <c r="BB2" s="2">
        <f>INDEX(AY2:AY14,MATCH(BA2,AZ2:AZ14,0))</f>
        <v>2.7750000000000004E-2</v>
      </c>
      <c r="BC2" s="2">
        <f>SLOPE(AZ3:AZ9,AY3:AY9)</f>
        <v>4967.3487223075153</v>
      </c>
      <c r="BE2" s="2">
        <v>0</v>
      </c>
      <c r="BF2" s="2">
        <v>0</v>
      </c>
      <c r="BG2" s="2">
        <f t="shared" ref="BG2:BG20" si="7">BE2/20</f>
        <v>0</v>
      </c>
      <c r="BH2" s="2">
        <f>BF2/'DIAMETRE (CR,CS)'!$F$10</f>
        <v>0</v>
      </c>
      <c r="BI2" s="2">
        <f>MAX(BH2:BH20)</f>
        <v>247.0190166270815</v>
      </c>
      <c r="BJ2" s="2">
        <f>INDEX(BG2:BG20,MATCH(BI2,BH2:BH20,0))</f>
        <v>5.4649999999999997E-2</v>
      </c>
      <c r="BK2" s="2">
        <f>SLOPE(BH3:BH12,BG3:BG12)</f>
        <v>4865.5697926743078</v>
      </c>
      <c r="BM2" s="2">
        <v>0</v>
      </c>
      <c r="BN2" s="2">
        <v>0</v>
      </c>
      <c r="BO2" s="2">
        <f t="shared" ref="BO2:BO11" si="8">BM2/20</f>
        <v>0</v>
      </c>
      <c r="BP2" s="2">
        <f>BN2/'DIAMETRE (CR,CS)'!$F$11</f>
        <v>0</v>
      </c>
      <c r="BQ2" s="2">
        <f>MAX(BP2:BP11)</f>
        <v>7.6307120233622019</v>
      </c>
      <c r="BR2" s="2">
        <f>INDEX(BO2:BO11,MATCH(BQ2,BP2:BP11,0))</f>
        <v>2.2749999999999999E-2</v>
      </c>
      <c r="BS2" s="2">
        <f>SLOPE(BP3:BP7,BO3:BO7)</f>
        <v>480.79275999393775</v>
      </c>
      <c r="BU2" s="2">
        <v>0</v>
      </c>
      <c r="BV2" s="2">
        <v>0</v>
      </c>
      <c r="BW2" s="2">
        <f t="shared" ref="BW2:BW20" si="9">BU2/20</f>
        <v>0</v>
      </c>
      <c r="BX2" s="2">
        <f>BV2/'DIAMETRE (CR,CS)'!$F$12</f>
        <v>0</v>
      </c>
      <c r="BY2" s="2">
        <f>MAX(BX2:BX20)</f>
        <v>163.21805511150112</v>
      </c>
      <c r="BZ2" s="2">
        <f>INDEX(BW2:BW20,MATCH(BY2,BX2:BX20,0))</f>
        <v>5.0249999999999996E-2</v>
      </c>
      <c r="CA2" s="2">
        <f>SLOPE(BX2:BX11,BW2:BW11)</f>
        <v>3339.7370864485138</v>
      </c>
      <c r="CC2" s="2">
        <v>0</v>
      </c>
      <c r="CD2" s="2">
        <v>0</v>
      </c>
      <c r="CE2" s="2">
        <f t="shared" ref="CE2:CE13" si="10">CC2/20</f>
        <v>0</v>
      </c>
      <c r="CF2" s="2">
        <f>CD2/'DIAMETRE (CR,CS)'!$F$13</f>
        <v>0</v>
      </c>
      <c r="CG2" s="2">
        <f>MAX(CF2:CF13)</f>
        <v>15.316598941954524</v>
      </c>
      <c r="CH2" s="2">
        <f>INDEX(CE2:CE13,MATCH(CG2,CF2:CF13,0))</f>
        <v>3.3750000000000002E-2</v>
      </c>
      <c r="CI2" s="2">
        <f>SLOPE(CF3:CF10,CE3:CE10)</f>
        <v>582.60410611514533</v>
      </c>
      <c r="CK2" s="2">
        <v>0</v>
      </c>
      <c r="CL2" s="2">
        <v>0</v>
      </c>
      <c r="CM2" s="2">
        <f t="shared" ref="CM2:CM11" si="11">CK2/20</f>
        <v>0</v>
      </c>
      <c r="CN2" s="2">
        <f>CL2/'DIAMETRE (CR,CS)'!$F$14</f>
        <v>0</v>
      </c>
      <c r="CO2" s="2">
        <f>MAX(CN2:CN11)</f>
        <v>28.865853679463441</v>
      </c>
      <c r="CP2" s="2">
        <f>INDEX(CM2:CM11,MATCH(CO2,CN2:CN11,0))</f>
        <v>3.2250000000000001E-2</v>
      </c>
      <c r="CQ2" s="2">
        <f>SLOPE(CN2:CN11,CM2:CM11)</f>
        <v>913.7145867870621</v>
      </c>
      <c r="CS2" s="2">
        <v>0</v>
      </c>
      <c r="CT2" s="2">
        <v>0</v>
      </c>
      <c r="CU2" s="2">
        <f t="shared" ref="CU2:CU18" si="12">CS2/20</f>
        <v>0</v>
      </c>
      <c r="CV2" s="2">
        <f>CT2/'DIAMETRE (CR,CS)'!$F$15</f>
        <v>0</v>
      </c>
      <c r="CW2" s="2">
        <f>MAX(CV2:CV18)</f>
        <v>161.4602645832997</v>
      </c>
      <c r="CX2" s="2">
        <f>INDEX(CU2:CU18,MATCH(CW2,CV2:CV18,0))</f>
        <v>4.9500000000000002E-2</v>
      </c>
      <c r="CY2" s="2">
        <f>SLOPE(CV2:CV11,CU2:CU11)</f>
        <v>3545.314750260005</v>
      </c>
      <c r="DA2" s="2">
        <v>0</v>
      </c>
      <c r="DB2" s="2">
        <v>0</v>
      </c>
      <c r="DC2" s="2">
        <f t="shared" ref="DC2:DC13" si="13">DA2/20</f>
        <v>0</v>
      </c>
      <c r="DD2" s="2">
        <f>DB2/'DIAMETRE (CR,CS)'!$F$16</f>
        <v>0</v>
      </c>
      <c r="DE2" s="2">
        <f>MAX(DD2:DD13)</f>
        <v>257.60283758061524</v>
      </c>
      <c r="DF2" s="2">
        <f>INDEX(DC2:DC13,MATCH(DE2,DD2:DD13,0))</f>
        <v>2.9049999999999999E-2</v>
      </c>
      <c r="DG2" s="2">
        <f>SLOPE(DD3:DD9,DC3:DC9)</f>
        <v>11697.51862186767</v>
      </c>
      <c r="DI2" s="2">
        <v>0</v>
      </c>
      <c r="DJ2" s="2">
        <v>0</v>
      </c>
      <c r="DK2" s="2">
        <f t="shared" ref="DK2:DK22" si="14">DI2/20</f>
        <v>0</v>
      </c>
      <c r="DL2" s="2">
        <f>DJ2/'DIAMETRE (CR,CS)'!$F$17</f>
        <v>0</v>
      </c>
      <c r="DM2" s="2">
        <f>MAX(DL2:DL22)</f>
        <v>534.26100230867053</v>
      </c>
      <c r="DN2" s="2">
        <f>INDEX(DK2:DK22,MATCH(DM2,DL2:DL22,0))</f>
        <v>5.8999999999999997E-2</v>
      </c>
      <c r="DO2" s="2">
        <f>SLOPE(DL2:DL11,DK2:DK11)</f>
        <v>10286.180407473516</v>
      </c>
      <c r="DQ2" s="2">
        <v>0</v>
      </c>
      <c r="DR2" s="2">
        <v>0</v>
      </c>
      <c r="DS2" s="2">
        <f t="shared" ref="DS2:DS18" si="15">DQ2/20</f>
        <v>0</v>
      </c>
      <c r="DT2" s="2">
        <f>DR2/'DIAMETRE (CR,CS)'!$F$18</f>
        <v>0</v>
      </c>
      <c r="DU2" s="2">
        <f>MAX(DT2:DT18)</f>
        <v>437.33480073663299</v>
      </c>
      <c r="DV2" s="2">
        <f>INDEX(DS2:DS18,MATCH(DU2,DT2:DT18,0))</f>
        <v>4.9000000000000002E-2</v>
      </c>
      <c r="DW2" s="2">
        <f>SLOPE(DT3:DT12,DS3:DS12)</f>
        <v>13673.066408435241</v>
      </c>
      <c r="DY2" s="2">
        <v>0</v>
      </c>
      <c r="DZ2" s="2">
        <v>0</v>
      </c>
      <c r="EA2" s="2">
        <f t="shared" ref="EA2:EA16" si="16">DY2/20</f>
        <v>0</v>
      </c>
      <c r="EB2" s="2">
        <f>DZ2/'DIAMETRE (CR,CS)'!$F$19</f>
        <v>0</v>
      </c>
      <c r="EC2" s="2">
        <f>MAX(EB2:EB16)</f>
        <v>221.81689910349161</v>
      </c>
      <c r="ED2" s="2">
        <f>INDEX(EA2:EA16,MATCH(EC2,EB2:EB16,0))</f>
        <v>3.9550000000000002E-2</v>
      </c>
      <c r="EE2" s="2">
        <f>SLOPE(EB3:EB12,EA3:EA12)</f>
        <v>7148.9565439532316</v>
      </c>
      <c r="EG2" s="2">
        <v>0</v>
      </c>
      <c r="EH2" s="2">
        <v>0</v>
      </c>
      <c r="EI2" s="2">
        <f t="shared" ref="EI2:EI10" si="17">EG2/20</f>
        <v>0</v>
      </c>
      <c r="EJ2" s="2">
        <f>EH2/'DIAMETRE (CR,CS)'!$F$20</f>
        <v>0</v>
      </c>
      <c r="EK2" s="2">
        <f>MAX(EJ2:EJ10)</f>
        <v>254.45535854329214</v>
      </c>
      <c r="EL2" s="2">
        <f>INDEX(EI2:EI10,MATCH(EK2,EJ2:EJ10,0))</f>
        <v>2.23E-2</v>
      </c>
      <c r="EM2" s="2">
        <f>SLOPE(EJ3:EJ7,EI3:EI7)</f>
        <v>16303.421562110325</v>
      </c>
      <c r="EO2" s="2">
        <v>0</v>
      </c>
      <c r="EP2" s="2">
        <v>0</v>
      </c>
      <c r="EQ2" s="2">
        <f t="shared" ref="EQ2:EQ10" si="18">EO2/20</f>
        <v>0</v>
      </c>
      <c r="ER2" s="2">
        <f>EP2/'DIAMETRE (CR,CS)'!$F$21</f>
        <v>0</v>
      </c>
      <c r="ES2" s="2">
        <f>MAX(ER2:ER10)</f>
        <v>183.29733175948596</v>
      </c>
      <c r="ET2" s="2">
        <f>INDEX(EQ2:EQ10,MATCH(ES2,ER2:ER10,0))</f>
        <v>2.35E-2</v>
      </c>
      <c r="EU2" s="2">
        <f>SLOPE(ER3:ER6,EQ3:EQ6)</f>
        <v>13671.352841435177</v>
      </c>
      <c r="EW2" s="2">
        <v>0</v>
      </c>
      <c r="EX2" s="2">
        <v>0</v>
      </c>
      <c r="EY2" s="2">
        <f t="shared" ref="EY2:EY9" si="19">EW2/20</f>
        <v>0</v>
      </c>
      <c r="EZ2" s="2">
        <f>EX2/'DIAMETRE (CR,CS)'!$F$22</f>
        <v>0</v>
      </c>
      <c r="FA2" s="2">
        <f>MAX(EZ2:EZ9)</f>
        <v>225.98643717734808</v>
      </c>
      <c r="FB2" s="2">
        <f>INDEX(EY2:EY9,MATCH(FA2,EZ2:EZ9,0))</f>
        <v>3.1350000000000003E-2</v>
      </c>
      <c r="FC2" s="2">
        <f>SLOPE(EZ2:EZ9,EY2:EY9)</f>
        <v>7624.8566890441416</v>
      </c>
      <c r="FE2" s="2">
        <v>0</v>
      </c>
      <c r="FF2" s="2">
        <v>0</v>
      </c>
      <c r="FG2" s="2">
        <f t="shared" ref="FG2:FG11" si="20">FE2/20</f>
        <v>0</v>
      </c>
      <c r="FH2" s="2">
        <f>FF2/'DIAMETRE (CR,CS)'!$F$23</f>
        <v>0</v>
      </c>
      <c r="FI2" s="2">
        <f>MAX(FH2:FH11)</f>
        <v>455.18546236982024</v>
      </c>
      <c r="FJ2" s="2">
        <f>INDEX(FG2:FG11,MATCH(FI2,FH2:FH11,0))</f>
        <v>1.975E-2</v>
      </c>
      <c r="FK2" s="2">
        <f>SLOPE(FH3:FH7,FG3:FG7)</f>
        <v>30323.617816001839</v>
      </c>
      <c r="FM2" s="2">
        <v>4.0000000000000001E-3</v>
      </c>
      <c r="FN2" s="2">
        <v>0</v>
      </c>
      <c r="FO2" s="2">
        <f t="shared" ref="FO2:FO13" si="21">FM2/20</f>
        <v>2.0000000000000001E-4</v>
      </c>
      <c r="FP2" s="2">
        <f>FN2/'DIAMETRE (CR,CS)'!$F$24</f>
        <v>0</v>
      </c>
      <c r="FQ2" s="2">
        <f>MAX(FP2:FP13)</f>
        <v>21.786075950384433</v>
      </c>
      <c r="FR2" s="2">
        <f>INDEX(FO2:FO13,MATCH(FQ2,FP2:FP13,0))</f>
        <v>4.7849999999999997E-2</v>
      </c>
      <c r="FS2" s="2">
        <f>SLOPE(FP2:FP11,FO2:FO11)</f>
        <v>457.21040819274793</v>
      </c>
    </row>
    <row r="3" spans="1:175" x14ac:dyDescent="0.25">
      <c r="A3" s="2">
        <v>0.16</v>
      </c>
      <c r="B3" s="2">
        <v>0.13300000000000001</v>
      </c>
      <c r="C3" s="2">
        <f t="shared" si="0"/>
        <v>8.0000000000000002E-3</v>
      </c>
      <c r="D3" s="2">
        <f>B3/'DIAMETRE (CR,CS)'!$F$3</f>
        <v>5.7240690728020818</v>
      </c>
      <c r="I3" s="2">
        <v>0.16</v>
      </c>
      <c r="J3" s="2">
        <v>0.23599999999999999</v>
      </c>
      <c r="K3" s="2">
        <f t="shared" si="1"/>
        <v>8.0000000000000002E-3</v>
      </c>
      <c r="L3" s="2">
        <f>J3/'DIAMETRE (CR,CS)'!$F$4</f>
        <v>7.2678333593590096</v>
      </c>
      <c r="Q3" s="2">
        <v>0.152</v>
      </c>
      <c r="R3" s="2">
        <v>7.9000000000000001E-2</v>
      </c>
      <c r="S3" s="2">
        <f t="shared" si="2"/>
        <v>7.6E-3</v>
      </c>
      <c r="T3" s="2">
        <f>R3/'DIAMETRE (CR,CS)'!$F$5</f>
        <v>2.8459122915934243</v>
      </c>
      <c r="Y3" s="2">
        <v>8.5000000000000006E-2</v>
      </c>
      <c r="Z3" s="2">
        <v>8.4000000000000019E-2</v>
      </c>
      <c r="AA3" s="2">
        <f t="shared" si="3"/>
        <v>4.2500000000000003E-3</v>
      </c>
      <c r="AB3" s="2">
        <f>Z3/'DIAMETRE (CR,CS)'!$F$6</f>
        <v>0.95112139866544743</v>
      </c>
      <c r="AG3" s="2">
        <v>0.155</v>
      </c>
      <c r="AH3" s="2">
        <v>5.4999999999999993E-2</v>
      </c>
      <c r="AI3" s="2">
        <f t="shared" si="4"/>
        <v>7.7499999999999999E-3</v>
      </c>
      <c r="AJ3" s="2">
        <f>AH3/'DIAMETRE (CR,CS)'!$F$7</f>
        <v>0.92151900949353815</v>
      </c>
      <c r="AO3" s="2">
        <v>0.16500000000000001</v>
      </c>
      <c r="AP3" s="2">
        <v>0.4</v>
      </c>
      <c r="AQ3" s="2">
        <f t="shared" si="5"/>
        <v>8.2500000000000004E-3</v>
      </c>
      <c r="AR3" s="2">
        <f>AP3/'DIAMETRE (CR,CS)'!$F$8</f>
        <v>8.5078632275957773</v>
      </c>
      <c r="AW3" s="2">
        <v>0.14000000000000001</v>
      </c>
      <c r="AX3" s="2">
        <v>0.192</v>
      </c>
      <c r="AY3" s="2">
        <f t="shared" si="6"/>
        <v>7.000000000000001E-3</v>
      </c>
      <c r="AZ3" s="2">
        <f>AX3/'DIAMETRE (CR,CS)'!$F$9</f>
        <v>4.7026391310624716</v>
      </c>
      <c r="BE3" s="2">
        <v>0.152</v>
      </c>
      <c r="BF3" s="2">
        <v>8.4000000000000005E-2</v>
      </c>
      <c r="BG3" s="2">
        <f t="shared" si="7"/>
        <v>7.6E-3</v>
      </c>
      <c r="BH3" s="2">
        <f>BF3/'DIAMETRE (CR,CS)'!$F$10</f>
        <v>3.4010158001433943</v>
      </c>
      <c r="BM3" s="2">
        <v>0.156</v>
      </c>
      <c r="BN3" s="2">
        <v>0.10100000000000001</v>
      </c>
      <c r="BO3" s="2">
        <f t="shared" si="8"/>
        <v>7.7999999999999996E-3</v>
      </c>
      <c r="BP3" s="2">
        <f>BN3/'DIAMETRE (CR,CS)'!$F$11</f>
        <v>0.67134313097524601</v>
      </c>
      <c r="BU3" s="2">
        <v>0.154</v>
      </c>
      <c r="BV3" s="2">
        <v>0.126</v>
      </c>
      <c r="BW3" s="2">
        <f t="shared" si="9"/>
        <v>7.7000000000000002E-3</v>
      </c>
      <c r="BX3" s="2">
        <f>BV3/'DIAMETRE (CR,CS)'!$F$12</f>
        <v>5.2786126653103542</v>
      </c>
      <c r="CC3" s="2">
        <v>0.16700000000000001</v>
      </c>
      <c r="CD3" s="2">
        <v>0.113</v>
      </c>
      <c r="CE3" s="2">
        <f t="shared" si="10"/>
        <v>8.3499999999999998E-3</v>
      </c>
      <c r="CF3" s="2">
        <f>CD3/'DIAMETRE (CR,CS)'!$F$13</f>
        <v>1.1546202004275257</v>
      </c>
      <c r="CK3" s="2">
        <v>0.16</v>
      </c>
      <c r="CL3" s="2">
        <v>6.8999999999999978E-2</v>
      </c>
      <c r="CM3" s="2">
        <f t="shared" si="11"/>
        <v>8.0000000000000002E-3</v>
      </c>
      <c r="CN3" s="2">
        <f>CL3/'DIAMETRE (CR,CS)'!$F$14</f>
        <v>3.688414636820327</v>
      </c>
      <c r="CS3" s="2">
        <v>0.158</v>
      </c>
      <c r="CT3" s="2">
        <v>0.17199999999999999</v>
      </c>
      <c r="CU3" s="2">
        <f t="shared" si="12"/>
        <v>7.9000000000000008E-3</v>
      </c>
      <c r="CV3" s="2">
        <f>CT3/'DIAMETRE (CR,CS)'!$F$15</f>
        <v>5.7201164795731296</v>
      </c>
      <c r="DA3" s="2">
        <v>0.155</v>
      </c>
      <c r="DB3" s="2">
        <v>0.317</v>
      </c>
      <c r="DC3" s="2">
        <f t="shared" si="13"/>
        <v>7.7499999999999999E-3</v>
      </c>
      <c r="DD3" s="2">
        <f>DB3/'DIAMETRE (CR,CS)'!$F$16</f>
        <v>19.021686352912891</v>
      </c>
      <c r="DI3" s="2">
        <v>0.152</v>
      </c>
      <c r="DJ3" s="2">
        <v>0.153</v>
      </c>
      <c r="DK3" s="2">
        <f t="shared" si="14"/>
        <v>7.6E-3</v>
      </c>
      <c r="DL3" s="2">
        <f>DJ3/'DIAMETRE (CR,CS)'!$F$17</f>
        <v>20.847215851371228</v>
      </c>
      <c r="DQ3" s="2">
        <v>0.14199999999999999</v>
      </c>
      <c r="DR3" s="2">
        <v>0.17199999999999999</v>
      </c>
      <c r="DS3" s="2">
        <f t="shared" si="15"/>
        <v>7.0999999999999995E-3</v>
      </c>
      <c r="DT3" s="2">
        <f>DR3/'DIAMETRE (CR,CS)'!$F$18</f>
        <v>20.642586642892663</v>
      </c>
      <c r="DY3" s="2">
        <v>0.159</v>
      </c>
      <c r="DZ3" s="2">
        <v>0.13500000000000001</v>
      </c>
      <c r="EA3" s="2">
        <f t="shared" si="16"/>
        <v>7.9500000000000005E-3</v>
      </c>
      <c r="EB3" s="2">
        <f>DZ3/'DIAMETRE (CR,CS)'!$F$19</f>
        <v>8.896399696664103</v>
      </c>
      <c r="EG3" s="2">
        <v>0.155</v>
      </c>
      <c r="EH3" s="2">
        <v>0.29499999999999998</v>
      </c>
      <c r="EI3" s="2">
        <f t="shared" si="17"/>
        <v>7.7499999999999999E-3</v>
      </c>
      <c r="EJ3" s="2">
        <f>EH3/'DIAMETRE (CR,CS)'!$F$20</f>
        <v>28.401184551748461</v>
      </c>
      <c r="EO3" s="2">
        <v>0.16900000000000001</v>
      </c>
      <c r="EP3" s="2">
        <v>0.63</v>
      </c>
      <c r="EQ3" s="2">
        <f t="shared" si="18"/>
        <v>8.4500000000000009E-3</v>
      </c>
      <c r="ER3" s="2">
        <f>EP3/'DIAMETRE (CR,CS)'!$F$21</f>
        <v>29.109482986759804</v>
      </c>
      <c r="EW3" s="2">
        <v>0.155</v>
      </c>
      <c r="EX3" s="2">
        <v>6.9000000000000006E-2</v>
      </c>
      <c r="EY3" s="2">
        <f t="shared" si="19"/>
        <v>7.7499999999999999E-3</v>
      </c>
      <c r="EZ3" s="2">
        <f>EX3/'DIAMETRE (CR,CS)'!$F$22</f>
        <v>28.351025754976401</v>
      </c>
      <c r="FE3" s="2">
        <v>0.114</v>
      </c>
      <c r="FF3" s="2">
        <v>0.41699999999999998</v>
      </c>
      <c r="FG3" s="2">
        <f t="shared" si="20"/>
        <v>5.7000000000000002E-3</v>
      </c>
      <c r="FH3" s="2">
        <f>FF3/'DIAMETRE (CR,CS)'!$F$23</f>
        <v>34.904806511256901</v>
      </c>
      <c r="FM3" s="2">
        <v>0.22800000000000001</v>
      </c>
      <c r="FN3" s="2">
        <v>0.224</v>
      </c>
      <c r="FO3" s="2">
        <f t="shared" si="21"/>
        <v>1.14E-2</v>
      </c>
      <c r="FP3" s="2">
        <f>FN3/'DIAMETRE (CR,CS)'!$F$24</f>
        <v>5.1207565717587755</v>
      </c>
    </row>
    <row r="4" spans="1:175" x14ac:dyDescent="0.25">
      <c r="A4" s="2">
        <v>0.224</v>
      </c>
      <c r="B4" s="2">
        <v>0.32900000000000001</v>
      </c>
      <c r="C4" s="2">
        <f t="shared" si="0"/>
        <v>1.12E-2</v>
      </c>
      <c r="D4" s="2">
        <f>B4/'DIAMETRE (CR,CS)'!$F$3</f>
        <v>14.159539285352519</v>
      </c>
      <c r="I4" s="2">
        <v>0.255</v>
      </c>
      <c r="J4" s="2">
        <v>0.64600000000000002</v>
      </c>
      <c r="K4" s="2">
        <f t="shared" si="1"/>
        <v>1.2750000000000001E-2</v>
      </c>
      <c r="L4" s="2">
        <f>J4/'DIAMETRE (CR,CS)'!$F$4</f>
        <v>19.894154026042035</v>
      </c>
      <c r="Q4" s="2">
        <v>0.222</v>
      </c>
      <c r="R4" s="2">
        <v>0.224</v>
      </c>
      <c r="S4" s="2">
        <f t="shared" si="2"/>
        <v>1.11E-2</v>
      </c>
      <c r="T4" s="2">
        <f>R4/'DIAMETRE (CR,CS)'!$F$5</f>
        <v>8.0694221938851527</v>
      </c>
      <c r="Y4" s="2">
        <v>0.19500000000000001</v>
      </c>
      <c r="Z4" s="2">
        <v>0.14799999999999999</v>
      </c>
      <c r="AA4" s="2">
        <f t="shared" si="3"/>
        <v>9.75E-3</v>
      </c>
      <c r="AB4" s="2">
        <f>Z4/'DIAMETRE (CR,CS)'!$F$6</f>
        <v>1.6757853214581688</v>
      </c>
      <c r="AG4" s="2">
        <v>0.21</v>
      </c>
      <c r="AH4" s="2">
        <v>0.125</v>
      </c>
      <c r="AI4" s="2">
        <f t="shared" si="4"/>
        <v>1.0499999999999999E-2</v>
      </c>
      <c r="AJ4" s="2">
        <f>AH4/'DIAMETRE (CR,CS)'!$F$7</f>
        <v>2.0943613852125869</v>
      </c>
      <c r="AO4" s="2">
        <v>0.16500000000000001</v>
      </c>
      <c r="AP4" s="2">
        <v>0.79700000000000004</v>
      </c>
      <c r="AQ4" s="2">
        <f t="shared" si="5"/>
        <v>8.2500000000000004E-3</v>
      </c>
      <c r="AR4" s="2">
        <f>AP4/'DIAMETRE (CR,CS)'!$F$8</f>
        <v>16.951917480984584</v>
      </c>
      <c r="AW4" s="2">
        <v>0.21199999999999999</v>
      </c>
      <c r="AX4" s="2">
        <v>0.53700000000000003</v>
      </c>
      <c r="AY4" s="2">
        <f t="shared" si="6"/>
        <v>1.06E-2</v>
      </c>
      <c r="AZ4" s="2">
        <f>AX4/'DIAMETRE (CR,CS)'!$F$9</f>
        <v>13.15269381969035</v>
      </c>
      <c r="BE4" s="2">
        <v>0.224</v>
      </c>
      <c r="BF4" s="2">
        <v>0.251</v>
      </c>
      <c r="BG4" s="2">
        <f t="shared" si="7"/>
        <v>1.12E-2</v>
      </c>
      <c r="BH4" s="2">
        <f>BF4/'DIAMETRE (CR,CS)'!$F$10</f>
        <v>10.162559117095142</v>
      </c>
      <c r="BM4" s="2">
        <v>0.23699999999999999</v>
      </c>
      <c r="BN4" s="2">
        <v>0.27500000000000002</v>
      </c>
      <c r="BO4" s="2">
        <f t="shared" si="8"/>
        <v>1.1849999999999999E-2</v>
      </c>
      <c r="BP4" s="2">
        <f>BN4/'DIAMETRE (CR,CS)'!$F$11</f>
        <v>1.8279144655266601</v>
      </c>
      <c r="BU4" s="2">
        <v>0.222</v>
      </c>
      <c r="BV4" s="2">
        <v>0.32600000000000001</v>
      </c>
      <c r="BW4" s="2">
        <f t="shared" si="9"/>
        <v>1.11E-2</v>
      </c>
      <c r="BX4" s="2">
        <f>BV4/'DIAMETRE (CR,CS)'!$F$12</f>
        <v>13.657362927707743</v>
      </c>
      <c r="CC4" s="2">
        <v>0.23499999999999999</v>
      </c>
      <c r="CD4" s="2">
        <v>0.26500000000000001</v>
      </c>
      <c r="CE4" s="2">
        <f t="shared" si="10"/>
        <v>1.175E-2</v>
      </c>
      <c r="CF4" s="2">
        <f>CD4/'DIAMETRE (CR,CS)'!$F$13</f>
        <v>2.7077376381707463</v>
      </c>
      <c r="CK4" s="2">
        <v>0.23100000000000001</v>
      </c>
      <c r="CL4" s="2">
        <v>0.14799999999999999</v>
      </c>
      <c r="CM4" s="2">
        <f t="shared" si="11"/>
        <v>1.1550000000000001E-2</v>
      </c>
      <c r="CN4" s="2">
        <f>CL4/'DIAMETRE (CR,CS)'!$F$14</f>
        <v>7.9113821195566461</v>
      </c>
      <c r="CS4" s="2">
        <v>0.223</v>
      </c>
      <c r="CT4" s="2">
        <v>0.442</v>
      </c>
      <c r="CU4" s="2">
        <f t="shared" si="12"/>
        <v>1.115E-2</v>
      </c>
      <c r="CV4" s="2">
        <f>CT4/'DIAMETRE (CR,CS)'!$F$15</f>
        <v>14.699369092856532</v>
      </c>
      <c r="DA4" s="2">
        <v>0.23599999999999999</v>
      </c>
      <c r="DB4" s="2">
        <v>0.78700000000000003</v>
      </c>
      <c r="DC4" s="2">
        <f t="shared" si="13"/>
        <v>1.18E-2</v>
      </c>
      <c r="DD4" s="2">
        <f>DB4/'DIAMETRE (CR,CS)'!$F$16</f>
        <v>47.224186623793202</v>
      </c>
      <c r="DI4" s="2">
        <v>0.222</v>
      </c>
      <c r="DJ4" s="2">
        <v>0.38500000000000001</v>
      </c>
      <c r="DK4" s="2">
        <f t="shared" si="14"/>
        <v>1.11E-2</v>
      </c>
      <c r="DL4" s="2">
        <f>DJ4/'DIAMETRE (CR,CS)'!$F$17</f>
        <v>52.458680410313221</v>
      </c>
      <c r="DQ4" s="2">
        <v>0.21199999999999999</v>
      </c>
      <c r="DR4" s="2">
        <v>0.45900000000000002</v>
      </c>
      <c r="DS4" s="2">
        <f t="shared" si="15"/>
        <v>1.06E-2</v>
      </c>
      <c r="DT4" s="2">
        <f>DR4/'DIAMETRE (CR,CS)'!$F$18</f>
        <v>55.086902727254262</v>
      </c>
      <c r="DY4" s="2">
        <v>0.224</v>
      </c>
      <c r="DZ4" s="2">
        <v>0.35799999999999998</v>
      </c>
      <c r="EA4" s="2">
        <f t="shared" si="16"/>
        <v>1.12E-2</v>
      </c>
      <c r="EB4" s="2">
        <f>DZ4/'DIAMETRE (CR,CS)'!$F$19</f>
        <v>23.591934010412952</v>
      </c>
      <c r="EG4" s="2">
        <v>0.217</v>
      </c>
      <c r="EH4" s="2">
        <v>0.78800000000000003</v>
      </c>
      <c r="EI4" s="2">
        <f t="shared" si="17"/>
        <v>1.085E-2</v>
      </c>
      <c r="EJ4" s="2">
        <f>EH4/'DIAMETRE (CR,CS)'!$F$20</f>
        <v>75.864859073823013</v>
      </c>
      <c r="EO4" s="2">
        <v>0.22</v>
      </c>
      <c r="EP4" s="2">
        <v>1.4570000000000001</v>
      </c>
      <c r="EQ4" s="2">
        <f t="shared" si="18"/>
        <v>1.0999999999999999E-2</v>
      </c>
      <c r="ER4" s="2">
        <f>EP4/'DIAMETRE (CR,CS)'!$F$21</f>
        <v>67.32145509795086</v>
      </c>
      <c r="EW4" s="2">
        <v>0.224</v>
      </c>
      <c r="EX4" s="2">
        <v>0.14499999999999999</v>
      </c>
      <c r="EY4" s="2">
        <f t="shared" si="19"/>
        <v>1.12E-2</v>
      </c>
      <c r="EZ4" s="2">
        <f>EX4/'DIAMETRE (CR,CS)'!$F$22</f>
        <v>59.578242528573583</v>
      </c>
      <c r="FE4" s="2">
        <v>0.184</v>
      </c>
      <c r="FF4" s="2">
        <v>1.1579999999999999</v>
      </c>
      <c r="FG4" s="2">
        <f t="shared" si="20"/>
        <v>9.1999999999999998E-3</v>
      </c>
      <c r="FH4" s="2">
        <f>FF4/'DIAMETRE (CR,CS)'!$F$23</f>
        <v>96.929894340612691</v>
      </c>
      <c r="FM4" s="2">
        <v>0.3</v>
      </c>
      <c r="FN4" s="2">
        <v>0.29599999999999999</v>
      </c>
      <c r="FO4" s="2">
        <f t="shared" si="21"/>
        <v>1.4999999999999999E-2</v>
      </c>
      <c r="FP4" s="2">
        <f>FN4/'DIAMETRE (CR,CS)'!$F$24</f>
        <v>6.7667140412526674</v>
      </c>
    </row>
    <row r="5" spans="1:175" x14ac:dyDescent="0.25">
      <c r="A5" s="2">
        <v>0.28499999999999998</v>
      </c>
      <c r="B5" s="2">
        <v>0.52300000000000002</v>
      </c>
      <c r="C5" s="2">
        <f t="shared" si="0"/>
        <v>1.4249999999999999E-2</v>
      </c>
      <c r="D5" s="2">
        <f>B5/'DIAMETRE (CR,CS)'!$F$3</f>
        <v>22.508933271244278</v>
      </c>
      <c r="I5" s="2">
        <v>0.32</v>
      </c>
      <c r="J5" s="2">
        <v>1.163</v>
      </c>
      <c r="K5" s="2">
        <f t="shared" si="1"/>
        <v>1.6E-2</v>
      </c>
      <c r="L5" s="2">
        <f>J5/'DIAMETRE (CR,CS)'!$F$4</f>
        <v>35.81563642768868</v>
      </c>
      <c r="Q5" s="2">
        <v>0.29499999999999998</v>
      </c>
      <c r="R5" s="2">
        <v>0.42699999999999999</v>
      </c>
      <c r="S5" s="2">
        <f t="shared" si="2"/>
        <v>1.4749999999999999E-2</v>
      </c>
      <c r="T5" s="2">
        <f>R5/'DIAMETRE (CR,CS)'!$F$5</f>
        <v>15.382336057093569</v>
      </c>
      <c r="Y5" s="2">
        <v>0.27900000000000003</v>
      </c>
      <c r="Z5" s="2">
        <v>0.21</v>
      </c>
      <c r="AA5" s="2">
        <f t="shared" si="3"/>
        <v>1.3950000000000001E-2</v>
      </c>
      <c r="AB5" s="2">
        <f>Z5/'DIAMETRE (CR,CS)'!$F$6</f>
        <v>2.3778034966636179</v>
      </c>
      <c r="AG5" s="2">
        <v>0.28000000000000003</v>
      </c>
      <c r="AH5" s="2">
        <v>0.217</v>
      </c>
      <c r="AI5" s="2">
        <f t="shared" si="4"/>
        <v>1.4000000000000002E-2</v>
      </c>
      <c r="AJ5" s="2">
        <f>AH5/'DIAMETRE (CR,CS)'!$F$7</f>
        <v>3.6358113647290509</v>
      </c>
      <c r="AO5" s="2">
        <v>0.30199999999999999</v>
      </c>
      <c r="AP5" s="2">
        <v>1.4670000000000001</v>
      </c>
      <c r="AQ5" s="2">
        <f t="shared" si="5"/>
        <v>1.5099999999999999E-2</v>
      </c>
      <c r="AR5" s="2">
        <f>AP5/'DIAMETRE (CR,CS)'!$F$8</f>
        <v>31.202588387207509</v>
      </c>
      <c r="AW5" s="2">
        <v>0.27600000000000002</v>
      </c>
      <c r="AX5" s="2">
        <v>1.04</v>
      </c>
      <c r="AY5" s="2">
        <f t="shared" si="6"/>
        <v>1.3800000000000002E-2</v>
      </c>
      <c r="AZ5" s="2">
        <f>AX5/'DIAMETRE (CR,CS)'!$F$9</f>
        <v>25.472628626588389</v>
      </c>
      <c r="BE5" s="2">
        <v>0.224</v>
      </c>
      <c r="BF5" s="2">
        <v>0.41699999999999998</v>
      </c>
      <c r="BG5" s="2">
        <f t="shared" si="7"/>
        <v>1.12E-2</v>
      </c>
      <c r="BH5" s="2">
        <f>BF5/'DIAMETRE (CR,CS)'!$F$10</f>
        <v>16.88361415071185</v>
      </c>
      <c r="BM5" s="2">
        <v>0.32</v>
      </c>
      <c r="BN5" s="2">
        <v>0.52800000000000002</v>
      </c>
      <c r="BO5" s="2">
        <f t="shared" si="8"/>
        <v>1.6E-2</v>
      </c>
      <c r="BP5" s="2">
        <f>BN5/'DIAMETRE (CR,CS)'!$F$11</f>
        <v>3.5095957738111871</v>
      </c>
      <c r="BU5" s="2">
        <v>0.29499999999999998</v>
      </c>
      <c r="BV5" s="2">
        <v>0.58599999999999997</v>
      </c>
      <c r="BW5" s="2">
        <f t="shared" si="9"/>
        <v>1.4749999999999999E-2</v>
      </c>
      <c r="BX5" s="2">
        <f>BV5/'DIAMETRE (CR,CS)'!$F$12</f>
        <v>24.549738268824346</v>
      </c>
      <c r="CC5" s="2">
        <v>0.31</v>
      </c>
      <c r="CD5" s="2">
        <v>0.46400000000000002</v>
      </c>
      <c r="CE5" s="2">
        <f t="shared" si="10"/>
        <v>1.55E-2</v>
      </c>
      <c r="CF5" s="2">
        <f>CD5/'DIAMETRE (CR,CS)'!$F$13</f>
        <v>4.7410953362687787</v>
      </c>
      <c r="CK5" s="2">
        <v>0.3</v>
      </c>
      <c r="CL5" s="2">
        <v>0.215</v>
      </c>
      <c r="CM5" s="2">
        <f t="shared" si="11"/>
        <v>1.4999999999999999E-2</v>
      </c>
      <c r="CN5" s="2">
        <f>CL5/'DIAMETRE (CR,CS)'!$F$14</f>
        <v>11.492886187193776</v>
      </c>
      <c r="CS5" s="2">
        <v>0.30199999999999999</v>
      </c>
      <c r="CT5" s="2">
        <v>0.82199999999999995</v>
      </c>
      <c r="CU5" s="2">
        <f t="shared" si="12"/>
        <v>1.5099999999999999E-2</v>
      </c>
      <c r="CV5" s="2">
        <f>CT5/'DIAMETRE (CR,CS)'!$F$15</f>
        <v>27.33683573377391</v>
      </c>
      <c r="DA5" s="2">
        <v>0.3</v>
      </c>
      <c r="DB5" s="2">
        <v>1.381</v>
      </c>
      <c r="DC5" s="2">
        <f t="shared" si="13"/>
        <v>1.4999999999999999E-2</v>
      </c>
      <c r="DD5" s="2">
        <f>DB5/'DIAMETRE (CR,CS)'!$F$16</f>
        <v>82.867346540607883</v>
      </c>
      <c r="DI5" s="2">
        <v>0.28000000000000003</v>
      </c>
      <c r="DJ5" s="2">
        <v>0.66900000000000004</v>
      </c>
      <c r="DK5" s="2">
        <f t="shared" si="14"/>
        <v>1.4000000000000002E-2</v>
      </c>
      <c r="DL5" s="2">
        <f>DJ5/'DIAMETRE (CR,CS)'!$F$17</f>
        <v>91.155473232466363</v>
      </c>
      <c r="DQ5" s="2">
        <v>0.28299999999999997</v>
      </c>
      <c r="DR5" s="2">
        <v>0.82699999999999996</v>
      </c>
      <c r="DS5" s="2">
        <f t="shared" si="15"/>
        <v>1.4149999999999999E-2</v>
      </c>
      <c r="DT5" s="2">
        <f>DR5/'DIAMETRE (CR,CS)'!$F$18</f>
        <v>99.252436939954833</v>
      </c>
      <c r="DY5" s="2">
        <v>0.309</v>
      </c>
      <c r="DZ5" s="2">
        <v>0.69499999999999995</v>
      </c>
      <c r="EA5" s="2">
        <f t="shared" si="16"/>
        <v>1.545E-2</v>
      </c>
      <c r="EB5" s="2">
        <f>DZ5/'DIAMETRE (CR,CS)'!$F$19</f>
        <v>45.799983623567037</v>
      </c>
      <c r="EG5" s="2">
        <v>0.28199999999999997</v>
      </c>
      <c r="EH5" s="2">
        <v>1.4470000000000001</v>
      </c>
      <c r="EI5" s="2">
        <f t="shared" si="17"/>
        <v>1.4099999999999998E-2</v>
      </c>
      <c r="EJ5" s="2">
        <f>EH5/'DIAMETRE (CR,CS)'!$F$20</f>
        <v>139.31021710637299</v>
      </c>
      <c r="EO5" s="2">
        <v>0.29899999999999999</v>
      </c>
      <c r="EP5" s="2">
        <v>2.5379999999999998</v>
      </c>
      <c r="EQ5" s="2">
        <f t="shared" si="18"/>
        <v>1.495E-2</v>
      </c>
      <c r="ER5" s="2">
        <f>EP5/'DIAMETRE (CR,CS)'!$F$21</f>
        <v>117.26963146094664</v>
      </c>
      <c r="EW5" s="2">
        <v>0.3</v>
      </c>
      <c r="EX5" s="2">
        <v>0.23</v>
      </c>
      <c r="EY5" s="2">
        <f t="shared" si="19"/>
        <v>1.4999999999999999E-2</v>
      </c>
      <c r="EZ5" s="2">
        <f>EX5/'DIAMETRE (CR,CS)'!$F$22</f>
        <v>94.503419183254664</v>
      </c>
      <c r="FE5" s="2">
        <v>0.254</v>
      </c>
      <c r="FF5" s="2">
        <v>2.3029999999999999</v>
      </c>
      <c r="FG5" s="2">
        <f t="shared" si="20"/>
        <v>1.2699999999999999E-2</v>
      </c>
      <c r="FH5" s="2">
        <f>FF5/'DIAMETRE (CR,CS)'!$F$23</f>
        <v>192.77162924562265</v>
      </c>
      <c r="FM5" s="2">
        <v>0.36199999999999999</v>
      </c>
      <c r="FN5" s="2">
        <v>0.35799999999999998</v>
      </c>
      <c r="FO5" s="2">
        <f t="shared" si="21"/>
        <v>1.8099999999999998E-2</v>
      </c>
      <c r="FP5" s="2">
        <f>FN5/'DIAMETRE (CR,CS)'!$F$24</f>
        <v>8.1840663066501858</v>
      </c>
    </row>
    <row r="6" spans="1:175" x14ac:dyDescent="0.25">
      <c r="A6" s="2">
        <v>0.35</v>
      </c>
      <c r="B6" s="2">
        <v>0.52200000000000002</v>
      </c>
      <c r="C6" s="2">
        <f t="shared" si="0"/>
        <v>1.7499999999999998E-2</v>
      </c>
      <c r="D6" s="2">
        <f>B6/'DIAMETRE (CR,CS)'!$F$3</f>
        <v>22.46589515791494</v>
      </c>
      <c r="I6" s="2">
        <v>0.377</v>
      </c>
      <c r="J6" s="2">
        <v>1.778</v>
      </c>
      <c r="K6" s="2">
        <f t="shared" si="1"/>
        <v>1.8849999999999999E-2</v>
      </c>
      <c r="L6" s="2">
        <f>J6/'DIAMETRE (CR,CS)'!$F$4</f>
        <v>54.755117427713216</v>
      </c>
      <c r="Q6" s="2">
        <v>0.35699999999999998</v>
      </c>
      <c r="R6" s="2">
        <v>0.68200000000000005</v>
      </c>
      <c r="S6" s="2">
        <f t="shared" si="2"/>
        <v>1.7849999999999998E-2</v>
      </c>
      <c r="T6" s="2">
        <f>R6/'DIAMETRE (CR,CS)'!$F$5</f>
        <v>24.568508643882474</v>
      </c>
      <c r="Y6" s="2">
        <v>0.34300000000000003</v>
      </c>
      <c r="Z6" s="2">
        <v>0.28000000000000003</v>
      </c>
      <c r="AA6" s="2">
        <f t="shared" si="3"/>
        <v>1.7150000000000002E-2</v>
      </c>
      <c r="AB6" s="2">
        <f>Z6/'DIAMETRE (CR,CS)'!$F$6</f>
        <v>3.1704046622181576</v>
      </c>
      <c r="AG6" s="2">
        <v>0.372</v>
      </c>
      <c r="AH6" s="2">
        <v>0.3</v>
      </c>
      <c r="AI6" s="2">
        <f t="shared" si="4"/>
        <v>1.8599999999999998E-2</v>
      </c>
      <c r="AJ6" s="2">
        <f>AH6/'DIAMETRE (CR,CS)'!$F$7</f>
        <v>5.0264673245102083</v>
      </c>
      <c r="AO6" s="2">
        <v>0.36499999999999999</v>
      </c>
      <c r="AP6" s="2">
        <v>2.266</v>
      </c>
      <c r="AQ6" s="2">
        <f t="shared" si="5"/>
        <v>1.8249999999999999E-2</v>
      </c>
      <c r="AR6" s="2">
        <f>AP6/'DIAMETRE (CR,CS)'!$F$8</f>
        <v>48.197045184330072</v>
      </c>
      <c r="AW6" s="2">
        <v>0.34</v>
      </c>
      <c r="AX6" s="2">
        <v>1.7</v>
      </c>
      <c r="AY6" s="2">
        <f t="shared" si="6"/>
        <v>1.7000000000000001E-2</v>
      </c>
      <c r="AZ6" s="2">
        <f>AX6/'DIAMETRE (CR,CS)'!$F$9</f>
        <v>41.637950639615632</v>
      </c>
      <c r="BE6" s="2">
        <v>0.34200000000000003</v>
      </c>
      <c r="BF6" s="2">
        <v>0.72099999999999997</v>
      </c>
      <c r="BG6" s="2">
        <f t="shared" si="7"/>
        <v>1.7100000000000001E-2</v>
      </c>
      <c r="BH6" s="2">
        <f>BF6/'DIAMETRE (CR,CS)'!$F$10</f>
        <v>29.192052284564131</v>
      </c>
      <c r="BM6" s="2">
        <v>0.32</v>
      </c>
      <c r="BN6" s="2">
        <v>0.78</v>
      </c>
      <c r="BO6" s="2">
        <f t="shared" si="8"/>
        <v>1.6E-2</v>
      </c>
      <c r="BP6" s="2">
        <f>BN6/'DIAMETRE (CR,CS)'!$F$11</f>
        <v>5.1846301204028897</v>
      </c>
      <c r="BU6" s="2">
        <v>0.34300000000000003</v>
      </c>
      <c r="BV6" s="2">
        <v>0.89100000000000001</v>
      </c>
      <c r="BW6" s="2">
        <f t="shared" si="9"/>
        <v>1.7150000000000002E-2</v>
      </c>
      <c r="BX6" s="2">
        <f>BV6/'DIAMETRE (CR,CS)'!$F$12</f>
        <v>37.327332418980362</v>
      </c>
      <c r="CC6" s="2">
        <v>0.372</v>
      </c>
      <c r="CD6" s="2">
        <v>0.70399999999999996</v>
      </c>
      <c r="CE6" s="2">
        <f t="shared" si="10"/>
        <v>1.8599999999999998E-2</v>
      </c>
      <c r="CF6" s="2">
        <f>CD6/'DIAMETRE (CR,CS)'!$F$13</f>
        <v>7.1933860274422834</v>
      </c>
      <c r="CK6" s="2">
        <v>0.379</v>
      </c>
      <c r="CL6" s="2">
        <v>0.27400000000000002</v>
      </c>
      <c r="CM6" s="2">
        <f t="shared" si="11"/>
        <v>1.8950000000000002E-2</v>
      </c>
      <c r="CN6" s="2">
        <f>CL6/'DIAMETRE (CR,CS)'!$F$14</f>
        <v>14.646747978098116</v>
      </c>
      <c r="CS6" s="2">
        <v>0.378</v>
      </c>
      <c r="CT6" s="2">
        <v>1.2969999999999999</v>
      </c>
      <c r="CU6" s="2">
        <f t="shared" si="12"/>
        <v>1.89E-2</v>
      </c>
      <c r="CV6" s="2">
        <f>CT6/'DIAMETRE (CR,CS)'!$F$15</f>
        <v>43.133669034920636</v>
      </c>
      <c r="DA6" s="2">
        <v>0.36</v>
      </c>
      <c r="DB6" s="2">
        <v>2.097</v>
      </c>
      <c r="DC6" s="2">
        <f t="shared" si="13"/>
        <v>1.7999999999999999E-2</v>
      </c>
      <c r="DD6" s="2">
        <f>DB6/'DIAMETRE (CR,CS)'!$F$16</f>
        <v>125.8311554639064</v>
      </c>
      <c r="DI6" s="2">
        <v>0.34100000000000003</v>
      </c>
      <c r="DJ6" s="2">
        <v>1.0029999999999999</v>
      </c>
      <c r="DK6" s="2">
        <f t="shared" si="14"/>
        <v>1.7050000000000003E-2</v>
      </c>
      <c r="DL6" s="2">
        <f>DJ6/'DIAMETRE (CR,CS)'!$F$17</f>
        <v>136.66508169232247</v>
      </c>
      <c r="DQ6" s="2">
        <v>0.34300000000000003</v>
      </c>
      <c r="DR6" s="2">
        <v>1.268</v>
      </c>
      <c r="DS6" s="2">
        <f t="shared" si="15"/>
        <v>1.7150000000000002E-2</v>
      </c>
      <c r="DT6" s="2">
        <f>DR6/'DIAMETRE (CR,CS)'!$F$18</f>
        <v>152.17906897202266</v>
      </c>
      <c r="DY6" s="2">
        <v>0.38</v>
      </c>
      <c r="DZ6" s="2">
        <v>1.1180000000000001</v>
      </c>
      <c r="EA6" s="2">
        <f t="shared" si="16"/>
        <v>1.9E-2</v>
      </c>
      <c r="EB6" s="2">
        <f>DZ6/'DIAMETRE (CR,CS)'!$F$19</f>
        <v>73.675369339781241</v>
      </c>
      <c r="EG6" s="2">
        <v>0.37</v>
      </c>
      <c r="EH6" s="2">
        <v>2.327</v>
      </c>
      <c r="EI6" s="2">
        <f t="shared" si="17"/>
        <v>1.8499999999999999E-2</v>
      </c>
      <c r="EJ6" s="2">
        <f>EH6/'DIAMETRE (CR,CS)'!$F$20</f>
        <v>224.0323947522667</v>
      </c>
      <c r="EO6" s="2">
        <v>0.39</v>
      </c>
      <c r="EP6" s="2">
        <v>3.9329999999999998</v>
      </c>
      <c r="EQ6" s="2">
        <f t="shared" si="18"/>
        <v>1.95E-2</v>
      </c>
      <c r="ER6" s="2">
        <f>EP6/'DIAMETRE (CR,CS)'!$F$21</f>
        <v>181.72634378877191</v>
      </c>
      <c r="EW6" s="2">
        <v>0.38500000000000001</v>
      </c>
      <c r="EX6" s="2">
        <v>0.3</v>
      </c>
      <c r="EY6" s="2">
        <f t="shared" si="19"/>
        <v>1.925E-2</v>
      </c>
      <c r="EZ6" s="2">
        <f>EX6/'DIAMETRE (CR,CS)'!$F$22</f>
        <v>123.26532936946259</v>
      </c>
      <c r="FE6" s="2">
        <v>0.32500000000000001</v>
      </c>
      <c r="FF6" s="2">
        <v>3.847</v>
      </c>
      <c r="FG6" s="2">
        <f t="shared" si="20"/>
        <v>1.6250000000000001E-2</v>
      </c>
      <c r="FH6" s="2">
        <f>FF6/'DIAMETRE (CR,CS)'!$F$23</f>
        <v>322.01148836643961</v>
      </c>
      <c r="FM6" s="2">
        <v>0.43</v>
      </c>
      <c r="FN6" s="2">
        <v>0.42599999999999999</v>
      </c>
      <c r="FO6" s="2">
        <f t="shared" si="21"/>
        <v>2.1499999999999998E-2</v>
      </c>
      <c r="FP6" s="2">
        <f>FN6/'DIAMETRE (CR,CS)'!$F$24</f>
        <v>9.7385816945055286</v>
      </c>
    </row>
    <row r="7" spans="1:175" x14ac:dyDescent="0.25">
      <c r="A7" s="2">
        <v>0.42199999999999999</v>
      </c>
      <c r="B7" s="2">
        <v>0.52200000000000002</v>
      </c>
      <c r="C7" s="2">
        <f t="shared" si="0"/>
        <v>2.1100000000000001E-2</v>
      </c>
      <c r="D7" s="2">
        <f>B7/'DIAMETRE (CR,CS)'!$F$3</f>
        <v>22.46589515791494</v>
      </c>
      <c r="I7" s="2">
        <v>0.45900000000000002</v>
      </c>
      <c r="J7" s="2">
        <v>2.5409999999999999</v>
      </c>
      <c r="K7" s="2">
        <f t="shared" si="1"/>
        <v>2.2950000000000002E-2</v>
      </c>
      <c r="L7" s="2">
        <f>J7/'DIAMETRE (CR,CS)'!$F$4</f>
        <v>78.252392229369676</v>
      </c>
      <c r="Q7" s="2">
        <v>0.35699999999999998</v>
      </c>
      <c r="R7" s="2">
        <v>0.93700000000000006</v>
      </c>
      <c r="S7" s="2">
        <f t="shared" si="2"/>
        <v>1.7849999999999998E-2</v>
      </c>
      <c r="T7" s="2">
        <f>R7/'DIAMETRE (CR,CS)'!$F$5</f>
        <v>33.754681230671373</v>
      </c>
      <c r="Y7" s="2">
        <v>0.40500000000000003</v>
      </c>
      <c r="Z7" s="2">
        <v>0.35199999999999998</v>
      </c>
      <c r="AA7" s="2">
        <f t="shared" si="3"/>
        <v>2.0250000000000001E-2</v>
      </c>
      <c r="AB7" s="2">
        <f>Z7/'DIAMETRE (CR,CS)'!$F$6</f>
        <v>3.9856515753599688</v>
      </c>
      <c r="AG7" s="2">
        <v>0.45500000000000002</v>
      </c>
      <c r="AH7" s="2">
        <v>0.36</v>
      </c>
      <c r="AI7" s="2">
        <f t="shared" si="4"/>
        <v>2.2749999999999999E-2</v>
      </c>
      <c r="AJ7" s="2">
        <f>AH7/'DIAMETRE (CR,CS)'!$F$7</f>
        <v>6.0317607894122505</v>
      </c>
      <c r="AO7" s="2">
        <v>0.435</v>
      </c>
      <c r="AP7" s="2">
        <v>3.2269999999999999</v>
      </c>
      <c r="AQ7" s="2">
        <f t="shared" si="5"/>
        <v>2.1749999999999999E-2</v>
      </c>
      <c r="AR7" s="2">
        <f>AP7/'DIAMETRE (CR,CS)'!$F$8</f>
        <v>68.637186588628921</v>
      </c>
      <c r="AW7" s="2">
        <v>0.40200000000000002</v>
      </c>
      <c r="AX7" s="2">
        <v>2.504</v>
      </c>
      <c r="AY7" s="2">
        <f t="shared" si="6"/>
        <v>2.01E-2</v>
      </c>
      <c r="AZ7" s="2">
        <f>AX7/'DIAMETRE (CR,CS)'!$F$9</f>
        <v>61.330252000939737</v>
      </c>
      <c r="BE7" s="2">
        <v>0.42199999999999999</v>
      </c>
      <c r="BF7" s="2">
        <v>1.1379999999999999</v>
      </c>
      <c r="BG7" s="2">
        <f t="shared" si="7"/>
        <v>2.1100000000000001E-2</v>
      </c>
      <c r="BH7" s="2">
        <f>BF7/'DIAMETRE (CR,CS)'!$F$10</f>
        <v>46.075666435275977</v>
      </c>
      <c r="BM7" s="2">
        <v>0.45500000000000002</v>
      </c>
      <c r="BN7" s="2">
        <v>1.1479999999999999</v>
      </c>
      <c r="BO7" s="2">
        <f t="shared" si="8"/>
        <v>2.2749999999999999E-2</v>
      </c>
      <c r="BP7" s="2">
        <f>BN7/'DIAMETRE (CR,CS)'!$F$11</f>
        <v>7.6307120233622019</v>
      </c>
      <c r="BU7" s="2">
        <v>0.41099999999999998</v>
      </c>
      <c r="BV7" s="2">
        <v>1.268</v>
      </c>
      <c r="BW7" s="2">
        <f t="shared" si="9"/>
        <v>2.0549999999999999E-2</v>
      </c>
      <c r="BX7" s="2">
        <f>BV7/'DIAMETRE (CR,CS)'!$F$12</f>
        <v>53.121276663599438</v>
      </c>
      <c r="CC7" s="2">
        <v>0.44700000000000001</v>
      </c>
      <c r="CD7" s="2">
        <v>0.96899999999999997</v>
      </c>
      <c r="CE7" s="2">
        <f t="shared" si="10"/>
        <v>2.2350000000000002E-2</v>
      </c>
      <c r="CF7" s="2">
        <f>CD7/'DIAMETRE (CR,CS)'!$F$13</f>
        <v>9.9011236656130297</v>
      </c>
      <c r="CK7" s="2">
        <v>0.44600000000000001</v>
      </c>
      <c r="CL7" s="2">
        <v>0.33700000000000002</v>
      </c>
      <c r="CM7" s="2">
        <f t="shared" si="11"/>
        <v>2.23E-2</v>
      </c>
      <c r="CN7" s="2">
        <f>CL7/'DIAMETRE (CR,CS)'!$F$14</f>
        <v>18.014430907368851</v>
      </c>
      <c r="CS7" s="2">
        <v>0.45500000000000002</v>
      </c>
      <c r="CT7" s="2">
        <v>1.8640000000000001</v>
      </c>
      <c r="CU7" s="2">
        <f t="shared" si="12"/>
        <v>2.2749999999999999E-2</v>
      </c>
      <c r="CV7" s="2">
        <f>CT7/'DIAMETRE (CR,CS)'!$F$15</f>
        <v>61.990099522815783</v>
      </c>
      <c r="DA7" s="2">
        <v>0.42899999999999999</v>
      </c>
      <c r="DB7" s="2">
        <v>2.94</v>
      </c>
      <c r="DC7" s="2">
        <f t="shared" si="13"/>
        <v>2.145E-2</v>
      </c>
      <c r="DD7" s="2">
        <f>DB7/'DIAMETRE (CR,CS)'!$F$16</f>
        <v>176.41563999231511</v>
      </c>
      <c r="DI7" s="2">
        <v>0.41099999999999998</v>
      </c>
      <c r="DJ7" s="2">
        <v>1.3879999999999999</v>
      </c>
      <c r="DK7" s="2">
        <f t="shared" si="14"/>
        <v>2.0549999999999999E-2</v>
      </c>
      <c r="DL7" s="2">
        <f>DJ7/'DIAMETRE (CR,CS)'!$F$17</f>
        <v>189.12376210263571</v>
      </c>
      <c r="DQ7" s="2">
        <v>0.40799999999999997</v>
      </c>
      <c r="DR7" s="2">
        <v>1.7809999999999999</v>
      </c>
      <c r="DS7" s="2">
        <f t="shared" si="15"/>
        <v>2.0399999999999998E-2</v>
      </c>
      <c r="DT7" s="2">
        <f>DR7/'DIAMETRE (CR,CS)'!$F$18</f>
        <v>213.74678378483623</v>
      </c>
      <c r="DY7" s="2">
        <v>0.44</v>
      </c>
      <c r="DZ7" s="2">
        <v>1.595</v>
      </c>
      <c r="EA7" s="2">
        <f t="shared" si="16"/>
        <v>2.1999999999999999E-2</v>
      </c>
      <c r="EB7" s="2">
        <f>DZ7/'DIAMETRE (CR,CS)'!$F$19</f>
        <v>105.10931493466106</v>
      </c>
      <c r="EG7" s="2">
        <v>0.44600000000000001</v>
      </c>
      <c r="EH7" s="2">
        <v>2.6429999999999998</v>
      </c>
      <c r="EI7" s="2">
        <f t="shared" si="17"/>
        <v>2.23E-2</v>
      </c>
      <c r="EJ7" s="2">
        <f>EH7/'DIAMETRE (CR,CS)'!$F$20</f>
        <v>254.45535854329214</v>
      </c>
      <c r="EO7" s="2">
        <v>0.47</v>
      </c>
      <c r="EP7" s="2">
        <v>3.9670000000000001</v>
      </c>
      <c r="EQ7" s="2">
        <f t="shared" si="18"/>
        <v>2.35E-2</v>
      </c>
      <c r="ER7" s="2">
        <f>EP7/'DIAMETRE (CR,CS)'!$F$21</f>
        <v>183.29733175948596</v>
      </c>
      <c r="EW7" s="2">
        <v>0.45500000000000002</v>
      </c>
      <c r="EX7" s="2">
        <v>0.38200000000000001</v>
      </c>
      <c r="EY7" s="2">
        <f t="shared" si="19"/>
        <v>2.2749999999999999E-2</v>
      </c>
      <c r="EZ7" s="2">
        <f>EX7/'DIAMETRE (CR,CS)'!$F$22</f>
        <v>156.95785273044905</v>
      </c>
      <c r="FE7" s="2">
        <v>0.39500000000000002</v>
      </c>
      <c r="FF7" s="2">
        <v>5.4379999999999997</v>
      </c>
      <c r="FG7" s="2">
        <f t="shared" si="20"/>
        <v>1.975E-2</v>
      </c>
      <c r="FH7" s="2">
        <f>FF7/'DIAMETRE (CR,CS)'!$F$23</f>
        <v>455.18546236982024</v>
      </c>
      <c r="FM7" s="2">
        <v>0.502</v>
      </c>
      <c r="FN7" s="2">
        <v>0.498</v>
      </c>
      <c r="FO7" s="2">
        <f t="shared" si="21"/>
        <v>2.5100000000000001E-2</v>
      </c>
      <c r="FP7" s="2">
        <f>FN7/'DIAMETRE (CR,CS)'!$F$24</f>
        <v>11.38453916399942</v>
      </c>
    </row>
    <row r="8" spans="1:175" x14ac:dyDescent="0.25">
      <c r="A8" s="2">
        <v>0.48499999999999999</v>
      </c>
      <c r="B8" s="2">
        <v>0.39</v>
      </c>
      <c r="C8" s="2">
        <f t="shared" si="0"/>
        <v>2.4250000000000001E-2</v>
      </c>
      <c r="D8" s="2">
        <f>B8/'DIAMETRE (CR,CS)'!$F$3</f>
        <v>16.784864198442197</v>
      </c>
      <c r="I8" s="2">
        <v>0.52700000000000002</v>
      </c>
      <c r="J8" s="2">
        <v>2.3050000000000002</v>
      </c>
      <c r="K8" s="2">
        <f t="shared" si="1"/>
        <v>2.6350000000000002E-2</v>
      </c>
      <c r="L8" s="2">
        <f>J8/'DIAMETRE (CR,CS)'!$F$4</f>
        <v>70.984558870010673</v>
      </c>
      <c r="Q8" s="2">
        <v>0.48</v>
      </c>
      <c r="R8" s="2">
        <v>1.1970000000000001</v>
      </c>
      <c r="S8" s="2">
        <f t="shared" si="2"/>
        <v>2.4E-2</v>
      </c>
      <c r="T8" s="2">
        <f>R8/'DIAMETRE (CR,CS)'!$F$5</f>
        <v>43.12097484857378</v>
      </c>
      <c r="Y8" s="2">
        <v>0.47499999999999998</v>
      </c>
      <c r="Z8" s="2">
        <v>0.44500000000000001</v>
      </c>
      <c r="AA8" s="2">
        <f t="shared" si="3"/>
        <v>2.375E-2</v>
      </c>
      <c r="AB8" s="2">
        <f>Z8/'DIAMETRE (CR,CS)'!$F$6</f>
        <v>5.0386788381681429</v>
      </c>
      <c r="AG8" s="2">
        <v>0.51500000000000001</v>
      </c>
      <c r="AH8" s="2">
        <v>0.42499999999999988</v>
      </c>
      <c r="AI8" s="2">
        <f t="shared" si="4"/>
        <v>2.5750000000000002E-2</v>
      </c>
      <c r="AJ8" s="2">
        <f>AH8/'DIAMETRE (CR,CS)'!$F$7</f>
        <v>7.1208287097227938</v>
      </c>
      <c r="AO8" s="2">
        <v>0.435</v>
      </c>
      <c r="AP8" s="2">
        <v>3.7879999999999998</v>
      </c>
      <c r="AQ8" s="2">
        <f t="shared" si="5"/>
        <v>2.1749999999999999E-2</v>
      </c>
      <c r="AR8" s="2">
        <f>AP8/'DIAMETRE (CR,CS)'!$F$8</f>
        <v>80.569464765332</v>
      </c>
      <c r="AW8" s="2">
        <v>0.46899999999999997</v>
      </c>
      <c r="AX8" s="2">
        <v>3.3149999999999999</v>
      </c>
      <c r="AY8" s="2">
        <f t="shared" si="6"/>
        <v>2.3449999999999999E-2</v>
      </c>
      <c r="AZ8" s="2">
        <f>AX8/'DIAMETRE (CR,CS)'!$F$9</f>
        <v>81.194003747250491</v>
      </c>
      <c r="BE8" s="2">
        <v>0.48</v>
      </c>
      <c r="BF8" s="2">
        <v>1.5740000000000001</v>
      </c>
      <c r="BG8" s="2">
        <f t="shared" si="7"/>
        <v>2.4E-2</v>
      </c>
      <c r="BH8" s="2">
        <f>BF8/'DIAMETRE (CR,CS)'!$F$10</f>
        <v>63.728557969353602</v>
      </c>
      <c r="BM8" s="2">
        <v>0.52400000000000002</v>
      </c>
      <c r="BN8" s="2">
        <v>1.048</v>
      </c>
      <c r="BO8" s="2">
        <f t="shared" si="8"/>
        <v>2.6200000000000001E-2</v>
      </c>
      <c r="BP8" s="2">
        <f>BN8/'DIAMETRE (CR,CS)'!$F$11</f>
        <v>6.9660158540797807</v>
      </c>
      <c r="BU8" s="2">
        <v>0.48</v>
      </c>
      <c r="BV8" s="2">
        <v>1.589</v>
      </c>
      <c r="BW8" s="2">
        <f t="shared" si="9"/>
        <v>2.4E-2</v>
      </c>
      <c r="BX8" s="2">
        <f>BV8/'DIAMETRE (CR,CS)'!$F$12</f>
        <v>66.56917083474724</v>
      </c>
      <c r="CC8" s="2">
        <v>0.52200000000000002</v>
      </c>
      <c r="CD8" s="2">
        <v>1.153</v>
      </c>
      <c r="CE8" s="2">
        <f t="shared" si="10"/>
        <v>2.6100000000000002E-2</v>
      </c>
      <c r="CF8" s="2">
        <f>CD8/'DIAMETRE (CR,CS)'!$F$13</f>
        <v>11.781213195512718</v>
      </c>
      <c r="CK8" s="2">
        <v>0.505</v>
      </c>
      <c r="CL8" s="2">
        <v>0.41399999999999998</v>
      </c>
      <c r="CM8" s="2">
        <f t="shared" si="11"/>
        <v>2.5250000000000002E-2</v>
      </c>
      <c r="CN8" s="2">
        <f>CL8/'DIAMETRE (CR,CS)'!$F$14</f>
        <v>22.130487820921967</v>
      </c>
      <c r="CS8" s="2">
        <v>0.51500000000000001</v>
      </c>
      <c r="CT8" s="2">
        <v>2.3220000000000001</v>
      </c>
      <c r="CU8" s="2">
        <f t="shared" si="12"/>
        <v>2.5750000000000002E-2</v>
      </c>
      <c r="CV8" s="2">
        <f>CT8/'DIAMETRE (CR,CS)'!$F$15</f>
        <v>77.221572474237263</v>
      </c>
      <c r="DA8" s="2">
        <v>0.51400000000000001</v>
      </c>
      <c r="DB8" s="2">
        <v>3.6309999999999998</v>
      </c>
      <c r="DC8" s="2">
        <f t="shared" si="13"/>
        <v>2.5700000000000001E-2</v>
      </c>
      <c r="DD8" s="2">
        <f>DB8/'DIAMETRE (CR,CS)'!$F$16</f>
        <v>217.87931592248168</v>
      </c>
      <c r="DI8" s="2">
        <v>0.48199999999999998</v>
      </c>
      <c r="DJ8" s="2">
        <v>1.6559999999999999</v>
      </c>
      <c r="DK8" s="2">
        <f t="shared" si="14"/>
        <v>2.41E-2</v>
      </c>
      <c r="DL8" s="2">
        <f>DJ8/'DIAMETRE (CR,CS)'!$F$17</f>
        <v>225.64045392072387</v>
      </c>
      <c r="DQ8" s="2">
        <v>0.47699999999999998</v>
      </c>
      <c r="DR8" s="2">
        <v>2.2040000000000002</v>
      </c>
      <c r="DS8" s="2">
        <f t="shared" si="15"/>
        <v>2.385E-2</v>
      </c>
      <c r="DT8" s="2">
        <f>DR8/'DIAMETRE (CR,CS)'!$F$18</f>
        <v>264.51314512171763</v>
      </c>
      <c r="DY8" s="2">
        <v>0.502</v>
      </c>
      <c r="DZ8" s="2">
        <v>1.998</v>
      </c>
      <c r="EA8" s="2">
        <f t="shared" si="16"/>
        <v>2.5100000000000001E-2</v>
      </c>
      <c r="EB8" s="2">
        <f>DZ8/'DIAMETRE (CR,CS)'!$F$19</f>
        <v>131.66671551062871</v>
      </c>
      <c r="EG8" s="2">
        <v>0.50700000000000001</v>
      </c>
      <c r="EH8" s="2">
        <v>2.3490000000000002</v>
      </c>
      <c r="EI8" s="2">
        <f t="shared" si="17"/>
        <v>2.5350000000000001E-2</v>
      </c>
      <c r="EJ8" s="2">
        <f>EH8/'DIAMETRE (CR,CS)'!$F$20</f>
        <v>226.15044919341406</v>
      </c>
      <c r="EO8" s="2">
        <v>0.54700000000000004</v>
      </c>
      <c r="EP8" s="2">
        <v>3.5289999999999999</v>
      </c>
      <c r="EQ8" s="2">
        <f t="shared" si="18"/>
        <v>2.7350000000000003E-2</v>
      </c>
      <c r="ER8" s="2">
        <f>EP8/'DIAMETRE (CR,CS)'!$F$21</f>
        <v>163.05931025440532</v>
      </c>
      <c r="EW8" s="2">
        <v>0.53700000000000003</v>
      </c>
      <c r="EX8" s="2">
        <v>0.47199999999999998</v>
      </c>
      <c r="EY8" s="2">
        <f t="shared" si="19"/>
        <v>2.6850000000000002E-2</v>
      </c>
      <c r="EZ8" s="2">
        <f>EX8/'DIAMETRE (CR,CS)'!$F$22</f>
        <v>193.9374515412878</v>
      </c>
      <c r="FE8" s="2">
        <v>0.46</v>
      </c>
      <c r="FF8" s="2">
        <v>5.0190000000000001</v>
      </c>
      <c r="FG8" s="2">
        <f t="shared" si="20"/>
        <v>2.3E-2</v>
      </c>
      <c r="FH8" s="2">
        <f>FF8/'DIAMETRE (CR,CS)'!$F$23</f>
        <v>420.11324671462449</v>
      </c>
      <c r="FM8" s="2">
        <v>0.57999999999999996</v>
      </c>
      <c r="FN8" s="2">
        <v>0.57599999999999996</v>
      </c>
      <c r="FO8" s="2">
        <f t="shared" si="21"/>
        <v>2.8999999999999998E-2</v>
      </c>
      <c r="FP8" s="2">
        <f>FN8/'DIAMETRE (CR,CS)'!$F$24</f>
        <v>13.167659755951137</v>
      </c>
    </row>
    <row r="9" spans="1:175" x14ac:dyDescent="0.25">
      <c r="A9" s="2">
        <v>0.55400000000000005</v>
      </c>
      <c r="B9" s="2">
        <v>0.19400000000000001</v>
      </c>
      <c r="C9" s="2">
        <f t="shared" si="0"/>
        <v>2.7700000000000002E-2</v>
      </c>
      <c r="D9" s="2">
        <f>B9/'DIAMETRE (CR,CS)'!$F$3</f>
        <v>8.3493939858917585</v>
      </c>
      <c r="I9" s="2">
        <v>0.58699999999999997</v>
      </c>
      <c r="J9" s="2">
        <v>1.893</v>
      </c>
      <c r="K9" s="2">
        <f t="shared" si="1"/>
        <v>2.9349999999999998E-2</v>
      </c>
      <c r="L9" s="2">
        <f>J9/'DIAMETRE (CR,CS)'!$F$4</f>
        <v>58.296646395197484</v>
      </c>
      <c r="Q9" s="2">
        <v>0.56200000000000006</v>
      </c>
      <c r="R9" s="2">
        <v>1.4319999999999999</v>
      </c>
      <c r="S9" s="2">
        <f t="shared" si="2"/>
        <v>2.8100000000000003E-2</v>
      </c>
      <c r="T9" s="2">
        <f>R9/'DIAMETRE (CR,CS)'!$F$5</f>
        <v>51.586663310908648</v>
      </c>
      <c r="Y9" s="2">
        <v>0.54700000000000004</v>
      </c>
      <c r="Z9" s="2">
        <v>0.5169999999999999</v>
      </c>
      <c r="AA9" s="2">
        <f t="shared" si="3"/>
        <v>2.7350000000000003E-2</v>
      </c>
      <c r="AB9" s="2">
        <f>Z9/'DIAMETRE (CR,CS)'!$F$6</f>
        <v>5.8539257513099532</v>
      </c>
      <c r="AG9" s="2">
        <v>0.57999999999999996</v>
      </c>
      <c r="AH9" s="2">
        <v>0.50600000000000001</v>
      </c>
      <c r="AI9" s="2">
        <f t="shared" si="4"/>
        <v>2.8999999999999998E-2</v>
      </c>
      <c r="AJ9" s="2">
        <f>AH9/'DIAMETRE (CR,CS)'!$F$7</f>
        <v>8.4779748873405527</v>
      </c>
      <c r="AO9" s="2">
        <v>0.56200000000000006</v>
      </c>
      <c r="AP9" s="2">
        <v>3.5230000000000001</v>
      </c>
      <c r="AQ9" s="2">
        <f t="shared" si="5"/>
        <v>2.8100000000000003E-2</v>
      </c>
      <c r="AR9" s="2">
        <f>AP9/'DIAMETRE (CR,CS)'!$F$8</f>
        <v>74.933005377049795</v>
      </c>
      <c r="AW9" s="2">
        <v>0.55500000000000005</v>
      </c>
      <c r="AX9" s="2">
        <v>4.22</v>
      </c>
      <c r="AY9" s="2">
        <f t="shared" si="6"/>
        <v>2.7750000000000004E-2</v>
      </c>
      <c r="AZ9" s="2">
        <f>AX9/'DIAMETRE (CR,CS)'!$F$9</f>
        <v>103.36008923481057</v>
      </c>
      <c r="BE9" s="2">
        <v>0.56000000000000005</v>
      </c>
      <c r="BF9" s="2">
        <v>2.06</v>
      </c>
      <c r="BG9" s="2">
        <f t="shared" si="7"/>
        <v>2.8000000000000004E-2</v>
      </c>
      <c r="BH9" s="2">
        <f>BF9/'DIAMETRE (CR,CS)'!$F$10</f>
        <v>83.405863670183237</v>
      </c>
      <c r="BM9" s="2">
        <v>0.58699999999999997</v>
      </c>
      <c r="BN9" s="2">
        <v>0.875</v>
      </c>
      <c r="BO9" s="2">
        <f t="shared" si="8"/>
        <v>2.9349999999999998E-2</v>
      </c>
      <c r="BP9" s="2">
        <f>BN9/'DIAMETRE (CR,CS)'!$F$11</f>
        <v>5.816091481221191</v>
      </c>
      <c r="BU9" s="2">
        <v>0.56200000000000006</v>
      </c>
      <c r="BV9" s="2">
        <v>1.903</v>
      </c>
      <c r="BW9" s="2">
        <f t="shared" si="9"/>
        <v>2.8100000000000003E-2</v>
      </c>
      <c r="BX9" s="2">
        <f>BV9/'DIAMETRE (CR,CS)'!$F$12</f>
        <v>79.723808746711143</v>
      </c>
      <c r="CC9" s="2">
        <v>0.6</v>
      </c>
      <c r="CD9" s="2">
        <v>1.337</v>
      </c>
      <c r="CE9" s="2">
        <f t="shared" si="10"/>
        <v>0.03</v>
      </c>
      <c r="CF9" s="2">
        <f>CD9/'DIAMETRE (CR,CS)'!$F$13</f>
        <v>13.661302725412407</v>
      </c>
      <c r="CK9" s="2">
        <v>0.56799999999999995</v>
      </c>
      <c r="CL9" s="2">
        <v>0.47399999999999998</v>
      </c>
      <c r="CM9" s="2">
        <f t="shared" si="11"/>
        <v>2.8399999999999998E-2</v>
      </c>
      <c r="CN9" s="2">
        <f>CL9/'DIAMETRE (CR,CS)'!$F$14</f>
        <v>25.337804896417907</v>
      </c>
      <c r="CS9" s="2">
        <v>0.60199999999999998</v>
      </c>
      <c r="CT9" s="2">
        <v>2.7709999999999999</v>
      </c>
      <c r="CU9" s="2">
        <f t="shared" si="12"/>
        <v>3.0099999999999998E-2</v>
      </c>
      <c r="CV9" s="2">
        <f>CT9/'DIAMETRE (CR,CS)'!$F$15</f>
        <v>92.153737005215945</v>
      </c>
      <c r="DA9" s="2">
        <v>0.58099999999999996</v>
      </c>
      <c r="DB9" s="2">
        <v>4.2930000000000001</v>
      </c>
      <c r="DC9" s="2">
        <f t="shared" si="13"/>
        <v>2.9049999999999999E-2</v>
      </c>
      <c r="DD9" s="2">
        <f>DB9/'DIAMETRE (CR,CS)'!$F$16</f>
        <v>257.60283758061524</v>
      </c>
      <c r="DI9" s="2">
        <v>0.56100000000000005</v>
      </c>
      <c r="DJ9" s="2">
        <v>1.9</v>
      </c>
      <c r="DK9" s="2">
        <f t="shared" si="14"/>
        <v>2.8050000000000002E-2</v>
      </c>
      <c r="DL9" s="2">
        <f>DJ9/'DIAMETRE (CR,CS)'!$F$17</f>
        <v>258.88699423271458</v>
      </c>
      <c r="DQ9" s="2">
        <v>0.55000000000000004</v>
      </c>
      <c r="DR9" s="2">
        <v>2.5750000000000002</v>
      </c>
      <c r="DS9" s="2">
        <f t="shared" si="15"/>
        <v>2.7500000000000004E-2</v>
      </c>
      <c r="DT9" s="2">
        <f>DR9/'DIAMETRE (CR,CS)'!$F$18</f>
        <v>309.03872445028264</v>
      </c>
      <c r="DY9" s="2">
        <v>0.56999999999999995</v>
      </c>
      <c r="DZ9" s="2">
        <v>2.3690000000000002</v>
      </c>
      <c r="EA9" s="2">
        <f t="shared" si="16"/>
        <v>2.8499999999999998E-2</v>
      </c>
      <c r="EB9" s="2">
        <f>DZ9/'DIAMETRE (CR,CS)'!$F$19</f>
        <v>156.11533986220192</v>
      </c>
      <c r="EG9" s="2">
        <v>0.56999999999999995</v>
      </c>
      <c r="EH9" s="2">
        <v>1.857</v>
      </c>
      <c r="EI9" s="2">
        <f t="shared" si="17"/>
        <v>2.8499999999999998E-2</v>
      </c>
      <c r="EJ9" s="2">
        <f>EH9/'DIAMETRE (CR,CS)'!$F$20</f>
        <v>178.78304987320982</v>
      </c>
      <c r="EO9" s="2">
        <v>0.61899999999999999</v>
      </c>
      <c r="EP9" s="2">
        <v>2.8959999999999999</v>
      </c>
      <c r="EQ9" s="2">
        <f t="shared" si="18"/>
        <v>3.0949999999999998E-2</v>
      </c>
      <c r="ER9" s="2">
        <f>EP9/'DIAMETRE (CR,CS)'!$F$21</f>
        <v>133.81121068199428</v>
      </c>
      <c r="EW9" s="2">
        <v>0.627</v>
      </c>
      <c r="EX9" s="2">
        <v>0.54999999999999993</v>
      </c>
      <c r="EY9" s="2">
        <f t="shared" si="19"/>
        <v>3.1350000000000003E-2</v>
      </c>
      <c r="EZ9" s="2">
        <f>EX9/'DIAMETRE (CR,CS)'!$F$22</f>
        <v>225.98643717734808</v>
      </c>
      <c r="FE9" s="2">
        <v>0.54600000000000004</v>
      </c>
      <c r="FF9" s="2">
        <v>4.2809999999999997</v>
      </c>
      <c r="FG9" s="2">
        <f t="shared" si="20"/>
        <v>2.7300000000000001E-2</v>
      </c>
      <c r="FH9" s="2">
        <f>FF9/'DIAMETRE (CR,CS)'!$F$23</f>
        <v>358.33927260117696</v>
      </c>
      <c r="FM9" s="2">
        <v>0.57999999999999996</v>
      </c>
      <c r="FN9" s="2">
        <v>0.57599999999999996</v>
      </c>
      <c r="FO9" s="2">
        <f t="shared" si="21"/>
        <v>2.8999999999999998E-2</v>
      </c>
      <c r="FP9" s="2">
        <f>FN9/'DIAMETRE (CR,CS)'!$F$24</f>
        <v>13.167659755951137</v>
      </c>
    </row>
    <row r="10" spans="1:175" x14ac:dyDescent="0.25">
      <c r="A10" s="2">
        <v>0.625</v>
      </c>
      <c r="B10" s="2">
        <v>1E-3</v>
      </c>
      <c r="C10" s="2">
        <f t="shared" si="0"/>
        <v>3.125E-2</v>
      </c>
      <c r="D10" s="2">
        <f>B10/'DIAMETRE (CR,CS)'!$F$3</f>
        <v>4.3038113329338962E-2</v>
      </c>
      <c r="I10" s="2">
        <v>0.65200000000000002</v>
      </c>
      <c r="J10" s="2">
        <v>1.3759999999999999</v>
      </c>
      <c r="K10" s="2">
        <f t="shared" si="1"/>
        <v>3.2600000000000004E-2</v>
      </c>
      <c r="L10" s="2">
        <f>J10/'DIAMETRE (CR,CS)'!$F$4</f>
        <v>42.375163993550835</v>
      </c>
      <c r="Q10" s="2">
        <v>0.64</v>
      </c>
      <c r="R10" s="2">
        <v>1.3340000000000001</v>
      </c>
      <c r="S10" s="2">
        <f t="shared" si="2"/>
        <v>3.2000000000000001E-2</v>
      </c>
      <c r="T10" s="2">
        <f>R10/'DIAMETRE (CR,CS)'!$F$5</f>
        <v>48.0562911010839</v>
      </c>
      <c r="Y10" s="2">
        <v>0.64</v>
      </c>
      <c r="Z10" s="2">
        <v>0.58000000000000007</v>
      </c>
      <c r="AA10" s="2">
        <f t="shared" si="3"/>
        <v>3.2000000000000001E-2</v>
      </c>
      <c r="AB10" s="2">
        <f>Z10/'DIAMETRE (CR,CS)'!$F$6</f>
        <v>6.5672668003090404</v>
      </c>
      <c r="AG10" s="2">
        <v>0.66100000000000003</v>
      </c>
      <c r="AH10" s="2">
        <v>0.56699999999999995</v>
      </c>
      <c r="AI10" s="2">
        <f t="shared" si="4"/>
        <v>3.3050000000000003E-2</v>
      </c>
      <c r="AJ10" s="2">
        <f>AH10/'DIAMETRE (CR,CS)'!$F$7</f>
        <v>9.5000232433242928</v>
      </c>
      <c r="AO10" s="2">
        <v>0.63500000000000001</v>
      </c>
      <c r="AP10" s="2">
        <v>2.9910000000000001</v>
      </c>
      <c r="AQ10" s="2">
        <f t="shared" si="5"/>
        <v>3.175E-2</v>
      </c>
      <c r="AR10" s="2">
        <f>AP10/'DIAMETRE (CR,CS)'!$F$8</f>
        <v>63.617547284347417</v>
      </c>
      <c r="AW10" s="2">
        <v>0.62</v>
      </c>
      <c r="AX10" s="2">
        <v>4.1289999999999996</v>
      </c>
      <c r="AY10" s="2">
        <f t="shared" si="6"/>
        <v>3.1E-2</v>
      </c>
      <c r="AZ10" s="2">
        <f>AX10/'DIAMETRE (CR,CS)'!$F$9</f>
        <v>101.13123422998407</v>
      </c>
      <c r="BE10" s="2">
        <v>0.64100000000000001</v>
      </c>
      <c r="BF10" s="2">
        <v>2.68</v>
      </c>
      <c r="BG10" s="2">
        <f t="shared" si="7"/>
        <v>3.2050000000000002E-2</v>
      </c>
      <c r="BH10" s="2">
        <f>BF10/'DIAMETRE (CR,CS)'!$F$10</f>
        <v>108.50859933790829</v>
      </c>
      <c r="BM10" s="2">
        <v>0.66700000000000004</v>
      </c>
      <c r="BN10" s="2">
        <v>0.621</v>
      </c>
      <c r="BO10" s="2">
        <f t="shared" si="8"/>
        <v>3.3350000000000005E-2</v>
      </c>
      <c r="BP10" s="2">
        <f>BN10/'DIAMETRE (CR,CS)'!$F$11</f>
        <v>4.1277632112438392</v>
      </c>
      <c r="BU10" s="2">
        <v>0.64200000000000002</v>
      </c>
      <c r="BV10" s="2">
        <v>2.2360000000000002</v>
      </c>
      <c r="BW10" s="2">
        <f t="shared" si="9"/>
        <v>3.2100000000000004E-2</v>
      </c>
      <c r="BX10" s="2">
        <f>BV10/'DIAMETRE (CR,CS)'!$F$12</f>
        <v>93.6744279336028</v>
      </c>
      <c r="CC10" s="2">
        <v>0.67500000000000004</v>
      </c>
      <c r="CD10" s="2">
        <v>1.4990000000000001</v>
      </c>
      <c r="CE10" s="2">
        <f t="shared" si="10"/>
        <v>3.3750000000000002E-2</v>
      </c>
      <c r="CF10" s="2">
        <f>CD10/'DIAMETRE (CR,CS)'!$F$13</f>
        <v>15.316598941954524</v>
      </c>
      <c r="CK10" s="2">
        <v>0.64500000000000002</v>
      </c>
      <c r="CL10" s="2">
        <v>0.54</v>
      </c>
      <c r="CM10" s="2">
        <f t="shared" si="11"/>
        <v>3.2250000000000001E-2</v>
      </c>
      <c r="CN10" s="2">
        <f>CL10/'DIAMETRE (CR,CS)'!$F$14</f>
        <v>28.865853679463441</v>
      </c>
      <c r="CS10" s="2">
        <v>0.68</v>
      </c>
      <c r="CT10" s="2">
        <v>3.1930000000000001</v>
      </c>
      <c r="CU10" s="2">
        <f t="shared" si="12"/>
        <v>3.4000000000000002E-2</v>
      </c>
      <c r="CV10" s="2">
        <f>CT10/'DIAMETRE (CR,CS)'!$F$15</f>
        <v>106.1879762748663</v>
      </c>
      <c r="DA10" s="2">
        <v>0.64500000000000002</v>
      </c>
      <c r="DB10" s="2">
        <v>3.7</v>
      </c>
      <c r="DC10" s="2">
        <f t="shared" si="13"/>
        <v>3.2250000000000001E-2</v>
      </c>
      <c r="DD10" s="2">
        <f>DB10/'DIAMETRE (CR,CS)'!$F$16</f>
        <v>222.01968298352585</v>
      </c>
      <c r="DI10" s="2">
        <v>0.63200000000000001</v>
      </c>
      <c r="DJ10" s="2">
        <v>2.1309999999999998</v>
      </c>
      <c r="DK10" s="2">
        <f t="shared" si="14"/>
        <v>3.1600000000000003E-2</v>
      </c>
      <c r="DL10" s="2">
        <f>DJ10/'DIAMETRE (CR,CS)'!$F$17</f>
        <v>290.36220247890253</v>
      </c>
      <c r="DQ10" s="2">
        <v>0.61699999999999999</v>
      </c>
      <c r="DR10" s="2">
        <v>2.93</v>
      </c>
      <c r="DS10" s="2">
        <f t="shared" si="15"/>
        <v>3.0849999999999999E-2</v>
      </c>
      <c r="DT10" s="2">
        <f>DR10/'DIAMETRE (CR,CS)'!$F$18</f>
        <v>351.64406316090412</v>
      </c>
      <c r="DY10" s="2">
        <v>0.64500000000000002</v>
      </c>
      <c r="DZ10" s="2">
        <v>2.714</v>
      </c>
      <c r="EA10" s="2">
        <f t="shared" si="16"/>
        <v>3.2250000000000001E-2</v>
      </c>
      <c r="EB10" s="2">
        <f>DZ10/'DIAMETRE (CR,CS)'!$F$19</f>
        <v>178.85058353145462</v>
      </c>
      <c r="EG10" s="2">
        <v>0.63100000000000001</v>
      </c>
      <c r="EH10" s="2">
        <v>1.1970000000000001</v>
      </c>
      <c r="EI10" s="2">
        <f t="shared" si="17"/>
        <v>3.1550000000000002E-2</v>
      </c>
      <c r="EJ10" s="2">
        <f>EH10/'DIAMETRE (CR,CS)'!$F$20</f>
        <v>115.24141663878953</v>
      </c>
      <c r="EO10" s="2">
        <v>0.68200000000000005</v>
      </c>
      <c r="EP10" s="2">
        <v>2.0059999999999998</v>
      </c>
      <c r="EQ10" s="2">
        <f t="shared" si="18"/>
        <v>3.4100000000000005E-2</v>
      </c>
      <c r="ER10" s="2">
        <f>EP10/'DIAMETRE (CR,CS)'!$F$21</f>
        <v>92.688290272127247</v>
      </c>
      <c r="EW10" s="2"/>
      <c r="EX10" s="2"/>
      <c r="EY10" s="2"/>
      <c r="EZ10" s="2"/>
      <c r="FE10" s="2">
        <v>0.61199999999999999</v>
      </c>
      <c r="FF10" s="2">
        <v>3.1339999999999999</v>
      </c>
      <c r="FG10" s="2">
        <f t="shared" si="20"/>
        <v>3.0599999999999999E-2</v>
      </c>
      <c r="FH10" s="2">
        <f>FF10/'DIAMETRE (CR,CS)'!$F$23</f>
        <v>262.33012855222813</v>
      </c>
      <c r="FM10" s="2">
        <v>0.74</v>
      </c>
      <c r="FN10" s="2">
        <v>0.73599999999999999</v>
      </c>
      <c r="FO10" s="2">
        <f t="shared" si="21"/>
        <v>3.6999999999999998E-2</v>
      </c>
      <c r="FP10" s="2">
        <f>FN10/'DIAMETRE (CR,CS)'!$F$24</f>
        <v>16.825343021493119</v>
      </c>
    </row>
    <row r="11" spans="1:175" x14ac:dyDescent="0.25">
      <c r="I11">
        <v>0.65200000000000002</v>
      </c>
      <c r="J11">
        <v>0.76</v>
      </c>
      <c r="K11">
        <f t="shared" si="1"/>
        <v>3.2600000000000004E-2</v>
      </c>
      <c r="L11">
        <f>J11/'DIAMETRE (CR,CS)'!$F$4</f>
        <v>23.404887089461219</v>
      </c>
      <c r="Q11">
        <v>0.71199999999999997</v>
      </c>
      <c r="R11">
        <v>1.079</v>
      </c>
      <c r="S11">
        <f t="shared" si="2"/>
        <v>3.56E-2</v>
      </c>
      <c r="T11">
        <f>R11/'DIAMETRE (CR,CS)'!$F$5</f>
        <v>38.870118514294994</v>
      </c>
      <c r="Y11">
        <v>0.71199999999999997</v>
      </c>
      <c r="Z11">
        <v>0.6419999999999999</v>
      </c>
      <c r="AA11">
        <f t="shared" si="3"/>
        <v>3.56E-2</v>
      </c>
      <c r="AB11">
        <f>Z11/'DIAMETRE (CR,CS)'!$F$6</f>
        <v>7.2692849755144877</v>
      </c>
      <c r="AG11">
        <v>0.72199999999999998</v>
      </c>
      <c r="AH11">
        <v>0.63</v>
      </c>
      <c r="AI11">
        <f t="shared" si="4"/>
        <v>3.61E-2</v>
      </c>
      <c r="AJ11">
        <f>AH11/'DIAMETRE (CR,CS)'!$F$7</f>
        <v>10.555581381471438</v>
      </c>
      <c r="AO11">
        <v>0.69699999999999995</v>
      </c>
      <c r="AP11">
        <v>2.3420000000000001</v>
      </c>
      <c r="AQ11">
        <f t="shared" si="5"/>
        <v>3.4849999999999999E-2</v>
      </c>
      <c r="AR11">
        <f>AP11/'DIAMETRE (CR,CS)'!$F$8</f>
        <v>49.81353919757327</v>
      </c>
      <c r="AW11">
        <v>0.68500000000000005</v>
      </c>
      <c r="AX11">
        <v>3.47</v>
      </c>
      <c r="AY11">
        <f t="shared" si="6"/>
        <v>3.4250000000000003E-2</v>
      </c>
      <c r="AZ11">
        <f>AX11/'DIAMETRE (CR,CS)'!$F$9</f>
        <v>84.990405129097795</v>
      </c>
      <c r="BE11">
        <v>0.64100000000000001</v>
      </c>
      <c r="BF11">
        <v>3.161</v>
      </c>
      <c r="BG11">
        <f t="shared" si="7"/>
        <v>3.2050000000000002E-2</v>
      </c>
      <c r="BH11">
        <f>BF11/'DIAMETRE (CR,CS)'!$F$10</f>
        <v>127.98346362206273</v>
      </c>
      <c r="BM11">
        <v>0.72699999999999998</v>
      </c>
      <c r="BN11">
        <v>0.36899999999999999</v>
      </c>
      <c r="BO11">
        <f t="shared" si="8"/>
        <v>3.635E-2</v>
      </c>
      <c r="BP11">
        <f>BN11/'DIAMETRE (CR,CS)'!$F$11</f>
        <v>2.4527288646521366</v>
      </c>
      <c r="BU11">
        <v>0.71</v>
      </c>
      <c r="BV11">
        <v>2.577</v>
      </c>
      <c r="BW11">
        <f t="shared" si="9"/>
        <v>3.5499999999999997E-2</v>
      </c>
      <c r="BX11">
        <f>BV11/'DIAMETRE (CR,CS)'!$F$12</f>
        <v>107.96019713099034</v>
      </c>
      <c r="CC11">
        <v>0.752</v>
      </c>
      <c r="CD11">
        <v>1.26</v>
      </c>
      <c r="CE11">
        <f t="shared" si="10"/>
        <v>3.7600000000000001E-2</v>
      </c>
      <c r="CF11">
        <f>CD11/'DIAMETRE (CR,CS)'!$F$13</f>
        <v>12.874526128660907</v>
      </c>
      <c r="CK11">
        <v>0.70499999999999996</v>
      </c>
      <c r="CL11">
        <v>0.54</v>
      </c>
      <c r="CM11">
        <f t="shared" si="11"/>
        <v>3.5249999999999997E-2</v>
      </c>
      <c r="CN11">
        <f>CL11/'DIAMETRE (CR,CS)'!$F$14</f>
        <v>28.865853679463441</v>
      </c>
      <c r="CS11">
        <v>0.74399999999999999</v>
      </c>
      <c r="CT11">
        <v>3.5939999999999999</v>
      </c>
      <c r="CU11">
        <f t="shared" si="12"/>
        <v>3.7199999999999997E-2</v>
      </c>
      <c r="CV11">
        <f>CT11/'DIAMETRE (CR,CS)'!$F$15</f>
        <v>119.52382923015017</v>
      </c>
      <c r="DA11">
        <v>0.70799999999999996</v>
      </c>
      <c r="DB11">
        <v>2.9820000000000002</v>
      </c>
      <c r="DC11">
        <f t="shared" si="13"/>
        <v>3.5400000000000001E-2</v>
      </c>
      <c r="DD11">
        <f>DB11/'DIAMETRE (CR,CS)'!$F$16</f>
        <v>178.93586342077677</v>
      </c>
      <c r="DI11">
        <v>0.69399999999999995</v>
      </c>
      <c r="DJ11">
        <v>2.347</v>
      </c>
      <c r="DK11">
        <f t="shared" si="14"/>
        <v>3.4699999999999995E-2</v>
      </c>
      <c r="DL11">
        <f>DJ11/'DIAMETRE (CR,CS)'!$F$17</f>
        <v>319.79356603377954</v>
      </c>
      <c r="DQ11">
        <v>0.67500000000000004</v>
      </c>
      <c r="DR11">
        <v>3.2679999999999998</v>
      </c>
      <c r="DS11">
        <f t="shared" si="15"/>
        <v>3.3750000000000002E-2</v>
      </c>
      <c r="DT11">
        <f>DR11/'DIAMETRE (CR,CS)'!$F$18</f>
        <v>392.20914621496058</v>
      </c>
      <c r="DY11">
        <v>0.71199999999999997</v>
      </c>
      <c r="DZ11">
        <v>3.0329999999999999</v>
      </c>
      <c r="EA11">
        <f t="shared" si="16"/>
        <v>3.56E-2</v>
      </c>
      <c r="EB11">
        <f>DZ11/'DIAMETRE (CR,CS)'!$F$19</f>
        <v>199.87244651838682</v>
      </c>
      <c r="FE11">
        <v>0.66700000000000004</v>
      </c>
      <c r="FF11">
        <v>1.589</v>
      </c>
      <c r="FG11">
        <f t="shared" si="20"/>
        <v>3.3350000000000005E-2</v>
      </c>
      <c r="FH11">
        <f>FF11/'DIAMETRE (CR,CS)'!$F$23</f>
        <v>133.00656485944177</v>
      </c>
      <c r="FM11">
        <v>0.8</v>
      </c>
      <c r="FN11">
        <v>0.79600000000000004</v>
      </c>
      <c r="FO11">
        <f t="shared" si="21"/>
        <v>0.04</v>
      </c>
      <c r="FP11">
        <f>FN11/'DIAMETRE (CR,CS)'!$F$24</f>
        <v>18.196974246071363</v>
      </c>
    </row>
    <row r="12" spans="1:175" x14ac:dyDescent="0.25">
      <c r="Q12">
        <v>0.77600000000000002</v>
      </c>
      <c r="R12">
        <v>0.82499999999999996</v>
      </c>
      <c r="S12">
        <f t="shared" si="2"/>
        <v>3.8800000000000001E-2</v>
      </c>
      <c r="T12">
        <f>R12/'DIAMETRE (CR,CS)'!$F$5</f>
        <v>29.719970133728793</v>
      </c>
      <c r="Y12">
        <v>0.77500000000000002</v>
      </c>
      <c r="Z12">
        <v>0.6419999999999999</v>
      </c>
      <c r="AA12">
        <f t="shared" si="3"/>
        <v>3.875E-2</v>
      </c>
      <c r="AB12">
        <f>Z12/'DIAMETRE (CR,CS)'!$F$6</f>
        <v>7.2692849755144877</v>
      </c>
      <c r="AG12">
        <v>0.78500000000000003</v>
      </c>
      <c r="AH12">
        <v>0.70199999999999996</v>
      </c>
      <c r="AI12">
        <f t="shared" si="4"/>
        <v>3.925E-2</v>
      </c>
      <c r="AJ12">
        <f>AH12/'DIAMETRE (CR,CS)'!$F$7</f>
        <v>11.761933539353887</v>
      </c>
      <c r="AO12">
        <v>0.76600000000000001</v>
      </c>
      <c r="AP12">
        <v>1.518</v>
      </c>
      <c r="AQ12">
        <f t="shared" si="5"/>
        <v>3.8300000000000001E-2</v>
      </c>
      <c r="AR12">
        <f>AP12/'DIAMETRE (CR,CS)'!$F$8</f>
        <v>32.287340948725969</v>
      </c>
      <c r="AW12">
        <v>0.747</v>
      </c>
      <c r="AX12">
        <v>2.6659999999999999</v>
      </c>
      <c r="AY12">
        <f t="shared" si="6"/>
        <v>3.7350000000000001E-2</v>
      </c>
      <c r="AZ12">
        <f>AX12/'DIAMETRE (CR,CS)'!$F$9</f>
        <v>65.298103767773696</v>
      </c>
      <c r="BE12">
        <v>0.78400000000000003</v>
      </c>
      <c r="BF12">
        <v>3.7639999999999998</v>
      </c>
      <c r="BG12">
        <f t="shared" si="7"/>
        <v>3.9199999999999999E-2</v>
      </c>
      <c r="BH12">
        <f>BF12/'DIAMETRE (CR,CS)'!$F$10</f>
        <v>152.39789847309208</v>
      </c>
      <c r="BU12">
        <v>0.77500000000000002</v>
      </c>
      <c r="BV12">
        <v>2.891</v>
      </c>
      <c r="BW12">
        <f t="shared" si="9"/>
        <v>3.875E-2</v>
      </c>
      <c r="BX12">
        <f>BV12/'DIAMETRE (CR,CS)'!$F$12</f>
        <v>121.11483504295424</v>
      </c>
      <c r="CC12">
        <v>0.81699999999999995</v>
      </c>
      <c r="CD12">
        <v>0.99299999999999999</v>
      </c>
      <c r="CE12">
        <f t="shared" si="10"/>
        <v>4.0849999999999997E-2</v>
      </c>
      <c r="CF12">
        <f>CD12/'DIAMETRE (CR,CS)'!$F$13</f>
        <v>10.146352734730382</v>
      </c>
      <c r="CS12">
        <v>0.84699999999999998</v>
      </c>
      <c r="CT12">
        <v>4.0119999999999996</v>
      </c>
      <c r="CU12">
        <f t="shared" si="12"/>
        <v>4.2349999999999999E-2</v>
      </c>
      <c r="CV12">
        <f>CT12/'DIAMETRE (CR,CS)'!$F$15</f>
        <v>133.42504253515926</v>
      </c>
      <c r="DA12">
        <v>0.76900000000000002</v>
      </c>
      <c r="DB12">
        <v>2.1379999999999999</v>
      </c>
      <c r="DC12">
        <f t="shared" si="13"/>
        <v>3.8449999999999998E-2</v>
      </c>
      <c r="DD12">
        <f>DB12/'DIAMETRE (CR,CS)'!$F$16</f>
        <v>128.29137357264275</v>
      </c>
      <c r="DI12">
        <v>0.77200000000000002</v>
      </c>
      <c r="DJ12">
        <v>2.5630000000000002</v>
      </c>
      <c r="DK12">
        <f t="shared" si="14"/>
        <v>3.8600000000000002E-2</v>
      </c>
      <c r="DL12">
        <f>DJ12/'DIAMETRE (CR,CS)'!$F$17</f>
        <v>349.22492958865661</v>
      </c>
      <c r="DQ12">
        <v>0.755</v>
      </c>
      <c r="DR12">
        <v>3.3839999999999999</v>
      </c>
      <c r="DS12">
        <f t="shared" si="15"/>
        <v>3.7749999999999999E-2</v>
      </c>
      <c r="DT12">
        <f>DR12/'DIAMETRE (CR,CS)'!$F$18</f>
        <v>406.13089069505099</v>
      </c>
      <c r="DY12">
        <v>0.79100000000000004</v>
      </c>
      <c r="DZ12">
        <v>3.3660000000000001</v>
      </c>
      <c r="EA12">
        <f t="shared" si="16"/>
        <v>3.9550000000000002E-2</v>
      </c>
      <c r="EB12">
        <f>DZ12/'DIAMETRE (CR,CS)'!$F$19</f>
        <v>221.81689910349161</v>
      </c>
      <c r="FM12">
        <v>0.88900000000000001</v>
      </c>
      <c r="FN12">
        <v>0.88500000000000001</v>
      </c>
      <c r="FO12">
        <f t="shared" si="21"/>
        <v>4.4450000000000003E-2</v>
      </c>
      <c r="FP12">
        <f>FN12/'DIAMETRE (CR,CS)'!$F$24</f>
        <v>20.23156056252909</v>
      </c>
    </row>
    <row r="13" spans="1:175" x14ac:dyDescent="0.25">
      <c r="Q13">
        <v>0.86199999999999999</v>
      </c>
      <c r="R13">
        <v>0.48899999999999999</v>
      </c>
      <c r="S13">
        <f t="shared" si="2"/>
        <v>4.3099999999999999E-2</v>
      </c>
      <c r="T13">
        <f>R13/'DIAMETRE (CR,CS)'!$F$5</f>
        <v>17.615836842901068</v>
      </c>
      <c r="Y13">
        <v>0.83699999999999997</v>
      </c>
      <c r="Z13">
        <v>0.7629999999999999</v>
      </c>
      <c r="AA13">
        <f t="shared" si="3"/>
        <v>4.1849999999999998E-2</v>
      </c>
      <c r="AB13">
        <f>Z13/'DIAMETRE (CR,CS)'!$F$6</f>
        <v>8.6393527045444767</v>
      </c>
      <c r="AO13">
        <v>0.83499999999999996</v>
      </c>
      <c r="AP13">
        <v>0.69199999999999995</v>
      </c>
      <c r="AQ13">
        <f t="shared" si="5"/>
        <v>4.1749999999999995E-2</v>
      </c>
      <c r="AR13">
        <f>AP13/'DIAMETRE (CR,CS)'!$F$8</f>
        <v>14.718603383740692</v>
      </c>
      <c r="AW13">
        <v>0.82699999999999996</v>
      </c>
      <c r="AX13">
        <v>1.6659999999999999</v>
      </c>
      <c r="AY13">
        <f t="shared" si="6"/>
        <v>4.1349999999999998E-2</v>
      </c>
      <c r="AZ13">
        <f>AX13/'DIAMETRE (CR,CS)'!$F$9</f>
        <v>40.805191626823323</v>
      </c>
      <c r="BE13">
        <v>0.86199999999999999</v>
      </c>
      <c r="BF13">
        <v>4.3840000000000003</v>
      </c>
      <c r="BG13">
        <f t="shared" si="7"/>
        <v>4.3099999999999999E-2</v>
      </c>
      <c r="BH13">
        <f>BF13/'DIAMETRE (CR,CS)'!$F$10</f>
        <v>177.50063414081714</v>
      </c>
      <c r="BU13">
        <v>0.86699999999999999</v>
      </c>
      <c r="BV13">
        <v>3.234</v>
      </c>
      <c r="BW13">
        <f t="shared" si="9"/>
        <v>4.335E-2</v>
      </c>
      <c r="BX13">
        <f>BV13/'DIAMETRE (CR,CS)'!$F$12</f>
        <v>135.48439174296576</v>
      </c>
      <c r="CC13">
        <v>0.872</v>
      </c>
      <c r="CD13">
        <v>0.69699999999999995</v>
      </c>
      <c r="CE13">
        <f t="shared" si="10"/>
        <v>4.36E-2</v>
      </c>
      <c r="CF13">
        <f>CD13/'DIAMETRE (CR,CS)'!$F$13</f>
        <v>7.1218608822830562</v>
      </c>
      <c r="CS13">
        <v>0.91500000000000004</v>
      </c>
      <c r="CT13">
        <v>4.4409999999999998</v>
      </c>
      <c r="CU13">
        <f t="shared" si="12"/>
        <v>4.5749999999999999E-2</v>
      </c>
      <c r="CV13">
        <f>CT13/'DIAMETRE (CR,CS)'!$F$15</f>
        <v>147.69207724293179</v>
      </c>
      <c r="DA13">
        <v>0.84</v>
      </c>
      <c r="DB13">
        <v>1.131</v>
      </c>
      <c r="DC13">
        <f t="shared" si="13"/>
        <v>4.1999999999999996E-2</v>
      </c>
      <c r="DD13">
        <f>DB13/'DIAMETRE (CR,CS)'!$F$16</f>
        <v>67.866016609288579</v>
      </c>
      <c r="DI13">
        <v>0.85199999999999998</v>
      </c>
      <c r="DJ13">
        <v>2.7730000000000001</v>
      </c>
      <c r="DK13">
        <f t="shared" si="14"/>
        <v>4.2599999999999999E-2</v>
      </c>
      <c r="DL13">
        <f>DJ13/'DIAMETRE (CR,CS)'!$F$17</f>
        <v>377.83875526700928</v>
      </c>
      <c r="DQ13">
        <v>0.83599999999999997</v>
      </c>
      <c r="DR13">
        <v>3.48</v>
      </c>
      <c r="DS13">
        <f t="shared" si="15"/>
        <v>4.1799999999999997E-2</v>
      </c>
      <c r="DT13">
        <f>DR13/'DIAMETRE (CR,CS)'!$F$18</f>
        <v>417.65233440271203</v>
      </c>
      <c r="DY13">
        <v>0.85199999999999998</v>
      </c>
      <c r="DZ13">
        <v>2.83</v>
      </c>
      <c r="EA13">
        <f t="shared" si="16"/>
        <v>4.2599999999999999E-2</v>
      </c>
      <c r="EB13">
        <f>DZ13/'DIAMETRE (CR,CS)'!$F$19</f>
        <v>186.49489734488452</v>
      </c>
      <c r="FM13">
        <v>0.95699999999999996</v>
      </c>
      <c r="FN13">
        <v>0.95299999999999996</v>
      </c>
      <c r="FO13">
        <f t="shared" si="21"/>
        <v>4.7849999999999997E-2</v>
      </c>
      <c r="FP13">
        <f>FN13/'DIAMETRE (CR,CS)'!$F$24</f>
        <v>21.786075950384433</v>
      </c>
    </row>
    <row r="14" spans="1:175" x14ac:dyDescent="0.25">
      <c r="Q14">
        <v>0.93400000000000005</v>
      </c>
      <c r="R14">
        <v>0.106</v>
      </c>
      <c r="S14">
        <f t="shared" si="2"/>
        <v>4.6700000000000005E-2</v>
      </c>
      <c r="T14">
        <f>R14/'DIAMETRE (CR,CS)'!$F$5</f>
        <v>3.8185658596063665</v>
      </c>
      <c r="Y14">
        <v>0.83699999999999997</v>
      </c>
      <c r="Z14">
        <v>0.82199999999999984</v>
      </c>
      <c r="AA14">
        <f t="shared" si="3"/>
        <v>4.1849999999999998E-2</v>
      </c>
      <c r="AB14">
        <f>Z14/'DIAMETRE (CR,CS)'!$F$6</f>
        <v>9.3074022583690166</v>
      </c>
      <c r="AO14">
        <v>0.9</v>
      </c>
      <c r="AP14">
        <v>0.69699999999999995</v>
      </c>
      <c r="AQ14">
        <f t="shared" si="5"/>
        <v>4.4999999999999998E-2</v>
      </c>
      <c r="AR14">
        <f>AP14/'DIAMETRE (CR,CS)'!$F$8</f>
        <v>14.824951674085639</v>
      </c>
      <c r="AW14">
        <v>0.90200000000000002</v>
      </c>
      <c r="AX14">
        <v>0.41299999999999998</v>
      </c>
      <c r="AY14">
        <f t="shared" si="6"/>
        <v>4.5100000000000001E-2</v>
      </c>
      <c r="AZ14">
        <f>AX14/'DIAMETRE (CR,CS)'!$F$9</f>
        <v>10.115572714212504</v>
      </c>
      <c r="BE14">
        <v>0.94799999999999995</v>
      </c>
      <c r="BF14">
        <v>4.97</v>
      </c>
      <c r="BG14">
        <f t="shared" si="7"/>
        <v>4.7399999999999998E-2</v>
      </c>
      <c r="BH14">
        <f>BF14/'DIAMETRE (CR,CS)'!$F$10</f>
        <v>201.2267681751508</v>
      </c>
      <c r="BU14">
        <v>0.93500000000000005</v>
      </c>
      <c r="BV14">
        <v>3.573</v>
      </c>
      <c r="BW14">
        <f t="shared" si="9"/>
        <v>4.675E-2</v>
      </c>
      <c r="BX14">
        <f>BV14/'DIAMETRE (CR,CS)'!$F$12</f>
        <v>149.68637343772934</v>
      </c>
      <c r="CS14">
        <v>0.99</v>
      </c>
      <c r="CT14">
        <v>4.8550000000000004</v>
      </c>
      <c r="CU14">
        <f t="shared" si="12"/>
        <v>4.9500000000000002E-2</v>
      </c>
      <c r="CV14">
        <f>CT14/'DIAMETRE (CR,CS)'!$F$15</f>
        <v>161.4602645832997</v>
      </c>
      <c r="DI14">
        <v>0.92500000000000004</v>
      </c>
      <c r="DJ14">
        <v>2.9740000000000002</v>
      </c>
      <c r="DK14">
        <f t="shared" si="14"/>
        <v>4.6249999999999999E-2</v>
      </c>
      <c r="DL14">
        <f>DJ14/'DIAMETRE (CR,CS)'!$F$17</f>
        <v>405.2262741305754</v>
      </c>
      <c r="DQ14">
        <v>0.91500000000000004</v>
      </c>
      <c r="DR14">
        <v>3.5670000000000002</v>
      </c>
      <c r="DS14">
        <f t="shared" si="15"/>
        <v>4.5749999999999999E-2</v>
      </c>
      <c r="DT14">
        <f>DR14/'DIAMETRE (CR,CS)'!$F$18</f>
        <v>428.09364276277984</v>
      </c>
      <c r="DY14">
        <v>0.91500000000000004</v>
      </c>
      <c r="DZ14">
        <v>2.2370000000000001</v>
      </c>
      <c r="EA14">
        <f t="shared" si="16"/>
        <v>4.5749999999999999E-2</v>
      </c>
      <c r="EB14">
        <f>DZ14/'DIAMETRE (CR,CS)'!$F$19</f>
        <v>147.4166379365748</v>
      </c>
    </row>
    <row r="15" spans="1:175" x14ac:dyDescent="0.25">
      <c r="AO15">
        <v>0.97199999999999998</v>
      </c>
      <c r="AP15">
        <v>0.7</v>
      </c>
      <c r="AQ15">
        <f t="shared" si="5"/>
        <v>4.8599999999999997E-2</v>
      </c>
      <c r="AR15">
        <f>AP15/'DIAMETRE (CR,CS)'!$F$8</f>
        <v>14.888760648292607</v>
      </c>
      <c r="BE15">
        <v>1.0189999999999999</v>
      </c>
      <c r="BF15">
        <v>5.47</v>
      </c>
      <c r="BG15">
        <f t="shared" si="7"/>
        <v>5.0949999999999995E-2</v>
      </c>
      <c r="BH15">
        <f>BF15/'DIAMETRE (CR,CS)'!$F$10</f>
        <v>221.47090984267101</v>
      </c>
      <c r="BU15">
        <v>1.0049999999999999</v>
      </c>
      <c r="BV15">
        <v>3.8959999999999999</v>
      </c>
      <c r="BW15">
        <f t="shared" si="9"/>
        <v>5.0249999999999996E-2</v>
      </c>
      <c r="BX15">
        <f>BV15/'DIAMETRE (CR,CS)'!$F$12</f>
        <v>163.21805511150112</v>
      </c>
      <c r="CS15">
        <v>1.0549999999999999</v>
      </c>
      <c r="CT15">
        <v>4.1589999999999998</v>
      </c>
      <c r="CU15">
        <f t="shared" si="12"/>
        <v>5.2749999999999998E-2</v>
      </c>
      <c r="CV15">
        <f>CT15/'DIAMETRE (CR,CS)'!$F$15</f>
        <v>138.31374673572469</v>
      </c>
      <c r="DI15">
        <v>0.99399999999999999</v>
      </c>
      <c r="DJ15">
        <v>3.1829999999999998</v>
      </c>
      <c r="DK15">
        <f t="shared" si="14"/>
        <v>4.9700000000000001E-2</v>
      </c>
      <c r="DL15">
        <f>DJ15/'DIAMETRE (CR,CS)'!$F$17</f>
        <v>433.70384349617399</v>
      </c>
      <c r="DQ15">
        <v>0.98</v>
      </c>
      <c r="DR15">
        <v>3.6440000000000001</v>
      </c>
      <c r="DS15">
        <f t="shared" si="15"/>
        <v>4.9000000000000002E-2</v>
      </c>
      <c r="DT15">
        <f>DR15/'DIAMETRE (CR,CS)'!$F$18</f>
        <v>437.33480073663299</v>
      </c>
      <c r="DY15">
        <v>0.97599999999999998</v>
      </c>
      <c r="DZ15">
        <v>1.5549999999999999</v>
      </c>
      <c r="EA15">
        <f t="shared" si="16"/>
        <v>4.8799999999999996E-2</v>
      </c>
      <c r="EB15">
        <f>DZ15/'DIAMETRE (CR,CS)'!$F$19</f>
        <v>102.47334465416799</v>
      </c>
    </row>
    <row r="16" spans="1:175" x14ac:dyDescent="0.25">
      <c r="BE16">
        <v>1.093</v>
      </c>
      <c r="BF16">
        <v>6.101</v>
      </c>
      <c r="BG16">
        <f t="shared" si="7"/>
        <v>5.4649999999999997E-2</v>
      </c>
      <c r="BH16">
        <f>BF16/'DIAMETRE (CR,CS)'!$F$10</f>
        <v>247.0190166270815</v>
      </c>
      <c r="BU16">
        <v>1.08</v>
      </c>
      <c r="BV16">
        <v>3.47</v>
      </c>
      <c r="BW16">
        <f t="shared" si="9"/>
        <v>5.4000000000000006E-2</v>
      </c>
      <c r="BX16">
        <f>BV16/'DIAMETRE (CR,CS)'!$F$12</f>
        <v>145.37131705259469</v>
      </c>
      <c r="CS16">
        <v>1.1180000000000001</v>
      </c>
      <c r="CT16">
        <v>3.2829999999999999</v>
      </c>
      <c r="CU16">
        <f t="shared" si="12"/>
        <v>5.5900000000000005E-2</v>
      </c>
      <c r="CV16">
        <f>CT16/'DIAMETRE (CR,CS)'!$F$15</f>
        <v>109.1810604792941</v>
      </c>
      <c r="DI16">
        <v>1.06</v>
      </c>
      <c r="DJ16">
        <v>3.3940000000000001</v>
      </c>
      <c r="DK16">
        <f t="shared" si="14"/>
        <v>5.3000000000000005E-2</v>
      </c>
      <c r="DL16">
        <f>DJ16/'DIAMETRE (CR,CS)'!$F$17</f>
        <v>462.45392548728074</v>
      </c>
      <c r="DQ16">
        <v>1.042</v>
      </c>
      <c r="DR16">
        <v>2.8639999999999999</v>
      </c>
      <c r="DS16">
        <f t="shared" si="15"/>
        <v>5.21E-2</v>
      </c>
      <c r="DT16">
        <f>DR16/'DIAMETRE (CR,CS)'!$F$18</f>
        <v>343.72307061188712</v>
      </c>
      <c r="DY16">
        <v>1.0549999999999999</v>
      </c>
      <c r="DZ16">
        <v>0.81200000000000006</v>
      </c>
      <c r="EA16">
        <f t="shared" si="16"/>
        <v>5.2749999999999998E-2</v>
      </c>
      <c r="EB16">
        <f>DZ16/'DIAMETRE (CR,CS)'!$F$19</f>
        <v>53.510196694009267</v>
      </c>
    </row>
    <row r="17" spans="57:124" x14ac:dyDescent="0.25">
      <c r="BE17">
        <v>1.1659999999999999</v>
      </c>
      <c r="BF17">
        <v>6.0830000000000002</v>
      </c>
      <c r="BG17">
        <f t="shared" si="7"/>
        <v>5.8299999999999998E-2</v>
      </c>
      <c r="BH17">
        <f>BF17/'DIAMETRE (CR,CS)'!$F$10</f>
        <v>246.2902275270508</v>
      </c>
      <c r="BU17">
        <v>1.159</v>
      </c>
      <c r="BV17">
        <v>2.78</v>
      </c>
      <c r="BW17">
        <f t="shared" si="9"/>
        <v>5.7950000000000002E-2</v>
      </c>
      <c r="BX17">
        <f>BV17/'DIAMETRE (CR,CS)'!$F$12</f>
        <v>116.46462864732369</v>
      </c>
      <c r="CS17">
        <v>1.18</v>
      </c>
      <c r="CT17">
        <v>2.2999999999999998</v>
      </c>
      <c r="CU17">
        <f t="shared" si="12"/>
        <v>5.8999999999999997E-2</v>
      </c>
      <c r="CV17">
        <f>CT17/'DIAMETRE (CR,CS)'!$F$15</f>
        <v>76.48992966871046</v>
      </c>
      <c r="DI17">
        <v>1.115</v>
      </c>
      <c r="DJ17">
        <v>3.5750000000000002</v>
      </c>
      <c r="DK17">
        <f t="shared" si="14"/>
        <v>5.5750000000000001E-2</v>
      </c>
      <c r="DL17">
        <f>DJ17/'DIAMETRE (CR,CS)'!$F$17</f>
        <v>487.11631809576568</v>
      </c>
      <c r="DQ17">
        <v>1.107</v>
      </c>
      <c r="DR17">
        <v>2.2360000000000002</v>
      </c>
      <c r="DS17">
        <f t="shared" si="15"/>
        <v>5.5349999999999996E-2</v>
      </c>
      <c r="DT17">
        <f>DR17/'DIAMETRE (CR,CS)'!$F$18</f>
        <v>268.35362635760464</v>
      </c>
    </row>
    <row r="18" spans="57:124" x14ac:dyDescent="0.25">
      <c r="BE18">
        <v>1.2390000000000001</v>
      </c>
      <c r="BF18">
        <v>4.9450000000000003</v>
      </c>
      <c r="BG18">
        <f t="shared" si="7"/>
        <v>6.1950000000000005E-2</v>
      </c>
      <c r="BH18">
        <f>BF18/'DIAMETRE (CR,CS)'!$F$10</f>
        <v>200.21456109177481</v>
      </c>
      <c r="BU18">
        <v>1.2350000000000001</v>
      </c>
      <c r="BV18">
        <v>1.9910000000000001</v>
      </c>
      <c r="BW18">
        <f t="shared" si="9"/>
        <v>6.1750000000000006E-2</v>
      </c>
      <c r="BX18">
        <f>BV18/'DIAMETRE (CR,CS)'!$F$12</f>
        <v>83.410458862165996</v>
      </c>
      <c r="CS18">
        <v>1.262</v>
      </c>
      <c r="CT18">
        <v>1.2410000000000001</v>
      </c>
      <c r="CU18">
        <f t="shared" si="12"/>
        <v>6.3100000000000003E-2</v>
      </c>
      <c r="CV18">
        <f>CT18/'DIAMETRE (CR,CS)'!$F$15</f>
        <v>41.271305529943341</v>
      </c>
      <c r="DI18">
        <v>1.18</v>
      </c>
      <c r="DJ18">
        <v>3.7719999999999998</v>
      </c>
      <c r="DK18">
        <f t="shared" si="14"/>
        <v>5.8999999999999997E-2</v>
      </c>
      <c r="DL18">
        <f>DJ18/'DIAMETRE (CR,CS)'!$F$17</f>
        <v>513.95881170831547</v>
      </c>
      <c r="DQ18">
        <v>1.179</v>
      </c>
      <c r="DR18">
        <v>1.5449999999999999</v>
      </c>
      <c r="DS18">
        <f t="shared" si="15"/>
        <v>5.8950000000000002E-2</v>
      </c>
      <c r="DT18">
        <f>DR18/'DIAMETRE (CR,CS)'!$F$18</f>
        <v>185.42323467016956</v>
      </c>
    </row>
    <row r="19" spans="57:124" x14ac:dyDescent="0.25">
      <c r="BE19">
        <v>1.3069999999999999</v>
      </c>
      <c r="BF19">
        <v>3.7069999999999999</v>
      </c>
      <c r="BG19">
        <f t="shared" si="7"/>
        <v>6.5349999999999991E-2</v>
      </c>
      <c r="BH19">
        <f>BF19/'DIAMETRE (CR,CS)'!$F$10</f>
        <v>150.09006632299477</v>
      </c>
      <c r="BU19">
        <v>1.31</v>
      </c>
      <c r="BV19">
        <v>1.1379999999999999</v>
      </c>
      <c r="BW19">
        <f t="shared" si="9"/>
        <v>6.5500000000000003E-2</v>
      </c>
      <c r="BX19">
        <f>BV19/'DIAMETRE (CR,CS)'!$F$12</f>
        <v>47.675088993041136</v>
      </c>
      <c r="DI19">
        <v>1.18</v>
      </c>
      <c r="DJ19">
        <v>3.9209999999999998</v>
      </c>
      <c r="DK19">
        <f t="shared" si="14"/>
        <v>5.8999999999999997E-2</v>
      </c>
      <c r="DL19">
        <f>DJ19/'DIAMETRE (CR,CS)'!$F$17</f>
        <v>534.26100230867053</v>
      </c>
    </row>
    <row r="20" spans="57:124" x14ac:dyDescent="0.25">
      <c r="BE20">
        <v>1.3720000000000001</v>
      </c>
      <c r="BF20">
        <v>2.42</v>
      </c>
      <c r="BG20">
        <f t="shared" si="7"/>
        <v>6.8600000000000008E-2</v>
      </c>
      <c r="BH20">
        <f>BF20/'DIAMETRE (CR,CS)'!$F$10</f>
        <v>97.981645670797775</v>
      </c>
      <c r="BU20">
        <v>1.387</v>
      </c>
      <c r="BV20">
        <v>0.222</v>
      </c>
      <c r="BW20">
        <f t="shared" si="9"/>
        <v>6.9349999999999995E-2</v>
      </c>
      <c r="BX20">
        <f>BV20/'DIAMETRE (CR,CS)'!$F$12</f>
        <v>9.3004127912611008</v>
      </c>
      <c r="DI20">
        <v>1.3</v>
      </c>
      <c r="DJ20">
        <v>3.198</v>
      </c>
      <c r="DK20">
        <f t="shared" si="14"/>
        <v>6.5000000000000002E-2</v>
      </c>
      <c r="DL20">
        <f>DJ20/'DIAMETRE (CR,CS)'!$F$17</f>
        <v>435.74768818748487</v>
      </c>
    </row>
    <row r="21" spans="57:124" ht="15.75" customHeight="1" x14ac:dyDescent="0.25">
      <c r="DI21">
        <v>1.38</v>
      </c>
      <c r="DJ21">
        <v>2.4369999999999998</v>
      </c>
      <c r="DK21">
        <f t="shared" si="14"/>
        <v>6.8999999999999992E-2</v>
      </c>
      <c r="DL21">
        <f>DJ21/'DIAMETRE (CR,CS)'!$F$17</f>
        <v>332.05663418164499</v>
      </c>
    </row>
    <row r="22" spans="57:124" ht="15.75" customHeight="1" x14ac:dyDescent="0.25">
      <c r="DI22">
        <v>1.4610000000000001</v>
      </c>
      <c r="DJ22">
        <v>1.655</v>
      </c>
      <c r="DK22">
        <f t="shared" si="14"/>
        <v>7.3050000000000004E-2</v>
      </c>
      <c r="DL22">
        <f>DJ22/'DIAMETRE (CR,CS)'!$F$17</f>
        <v>225.50419760796981</v>
      </c>
    </row>
    <row r="23" spans="57:124" ht="15.75" customHeight="1" x14ac:dyDescent="0.25"/>
    <row r="24" spans="57:124" ht="15.75" customHeight="1" x14ac:dyDescent="0.25"/>
    <row r="25" spans="57:124" ht="15.75" customHeight="1" x14ac:dyDescent="0.25"/>
    <row r="26" spans="57:124" ht="15.75" customHeight="1" x14ac:dyDescent="0.25"/>
    <row r="27" spans="57:124" ht="15.75" customHeight="1" x14ac:dyDescent="0.25"/>
    <row r="28" spans="57:124" ht="15.75" customHeight="1" x14ac:dyDescent="0.25"/>
    <row r="29" spans="57:124" ht="15.75" customHeight="1" x14ac:dyDescent="0.25"/>
    <row r="30" spans="57:124" ht="15.75" customHeight="1" x14ac:dyDescent="0.25"/>
    <row r="31" spans="57:124" ht="15.75" customHeight="1" x14ac:dyDescent="0.25"/>
    <row r="32" spans="57:1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S1000"/>
  <sheetViews>
    <sheetView tabSelected="1" workbookViewId="0"/>
  </sheetViews>
  <sheetFormatPr baseColWidth="10" defaultColWidth="14.42578125" defaultRowHeight="15" customHeight="1" x14ac:dyDescent="0.25"/>
  <cols>
    <col min="1" max="24" width="9.140625" customWidth="1"/>
    <col min="25" max="25" width="9.140625" hidden="1" customWidth="1"/>
    <col min="26" max="33" width="9.140625" customWidth="1"/>
    <col min="34" max="34" width="9.140625" hidden="1" customWidth="1"/>
    <col min="35" max="90" width="9.140625" customWidth="1"/>
    <col min="91" max="91" width="9.140625" hidden="1" customWidth="1"/>
    <col min="92" max="155" width="9.140625" customWidth="1"/>
    <col min="156" max="156" width="9.140625" hidden="1" customWidth="1"/>
    <col min="157" max="172" width="9.140625" customWidth="1"/>
    <col min="173" max="173" width="9.140625" hidden="1" customWidth="1"/>
    <col min="174" max="180" width="9.140625" customWidth="1"/>
  </cols>
  <sheetData>
    <row r="1" spans="1:175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32</v>
      </c>
      <c r="F1" s="2" t="s">
        <v>33</v>
      </c>
      <c r="G1" s="2" t="s">
        <v>34</v>
      </c>
      <c r="I1" s="2" t="s">
        <v>41</v>
      </c>
      <c r="J1" s="2" t="s">
        <v>42</v>
      </c>
      <c r="K1" s="2" t="s">
        <v>39</v>
      </c>
      <c r="L1" s="2" t="s">
        <v>40</v>
      </c>
      <c r="M1" s="2" t="s">
        <v>32</v>
      </c>
      <c r="N1" s="2" t="s">
        <v>33</v>
      </c>
      <c r="O1" s="2" t="s">
        <v>34</v>
      </c>
      <c r="Q1" s="2" t="s">
        <v>43</v>
      </c>
      <c r="R1" s="2" t="s">
        <v>44</v>
      </c>
      <c r="S1" s="2" t="s">
        <v>39</v>
      </c>
      <c r="T1" s="2" t="s">
        <v>40</v>
      </c>
      <c r="U1" s="2" t="s">
        <v>32</v>
      </c>
      <c r="V1" s="2" t="s">
        <v>33</v>
      </c>
      <c r="W1" s="2" t="s">
        <v>34</v>
      </c>
      <c r="Y1" s="2" t="s">
        <v>45</v>
      </c>
      <c r="Z1" s="2" t="s">
        <v>46</v>
      </c>
      <c r="AA1" s="2" t="s">
        <v>39</v>
      </c>
      <c r="AB1" s="2" t="s">
        <v>40</v>
      </c>
      <c r="AC1" s="2" t="s">
        <v>32</v>
      </c>
      <c r="AD1" s="2" t="s">
        <v>33</v>
      </c>
      <c r="AE1" s="2" t="s">
        <v>34</v>
      </c>
      <c r="AG1" s="2" t="s">
        <v>47</v>
      </c>
      <c r="AH1" s="2" t="s">
        <v>48</v>
      </c>
      <c r="AI1" s="2" t="s">
        <v>39</v>
      </c>
      <c r="AJ1" s="2" t="s">
        <v>40</v>
      </c>
      <c r="AK1" s="2" t="s">
        <v>32</v>
      </c>
      <c r="AL1" s="2" t="s">
        <v>33</v>
      </c>
      <c r="AM1" s="2" t="s">
        <v>34</v>
      </c>
      <c r="AO1" s="2" t="s">
        <v>49</v>
      </c>
      <c r="AP1" s="2" t="s">
        <v>50</v>
      </c>
      <c r="AQ1" s="2" t="s">
        <v>39</v>
      </c>
      <c r="AR1" s="2" t="s">
        <v>40</v>
      </c>
      <c r="AS1" s="2" t="s">
        <v>32</v>
      </c>
      <c r="AT1" s="2" t="s">
        <v>33</v>
      </c>
      <c r="AU1" s="2" t="s">
        <v>34</v>
      </c>
      <c r="AW1" s="2" t="s">
        <v>51</v>
      </c>
      <c r="AX1" s="2" t="s">
        <v>52</v>
      </c>
      <c r="AY1" s="2" t="s">
        <v>39</v>
      </c>
      <c r="AZ1" s="2" t="s">
        <v>40</v>
      </c>
      <c r="BA1" s="2" t="s">
        <v>32</v>
      </c>
      <c r="BB1" s="2" t="s">
        <v>33</v>
      </c>
      <c r="BC1" s="2" t="s">
        <v>34</v>
      </c>
      <c r="BE1" s="2" t="s">
        <v>53</v>
      </c>
      <c r="BF1" s="2" t="s">
        <v>54</v>
      </c>
      <c r="BG1" s="2" t="s">
        <v>39</v>
      </c>
      <c r="BH1" s="2" t="s">
        <v>40</v>
      </c>
      <c r="BI1" s="2" t="s">
        <v>32</v>
      </c>
      <c r="BJ1" s="2" t="s">
        <v>33</v>
      </c>
      <c r="BK1" s="2" t="s">
        <v>34</v>
      </c>
      <c r="BM1" s="2" t="s">
        <v>55</v>
      </c>
      <c r="BN1" s="2" t="s">
        <v>56</v>
      </c>
      <c r="BO1" s="2" t="s">
        <v>39</v>
      </c>
      <c r="BP1" s="2" t="s">
        <v>40</v>
      </c>
      <c r="BQ1" s="2" t="s">
        <v>32</v>
      </c>
      <c r="BR1" s="2" t="s">
        <v>33</v>
      </c>
      <c r="BS1" s="2" t="s">
        <v>34</v>
      </c>
      <c r="BU1" s="2" t="s">
        <v>57</v>
      </c>
      <c r="BV1" s="2" t="s">
        <v>58</v>
      </c>
      <c r="BW1" s="2" t="s">
        <v>39</v>
      </c>
      <c r="BX1" s="2" t="s">
        <v>40</v>
      </c>
      <c r="BY1" s="2" t="s">
        <v>32</v>
      </c>
      <c r="BZ1" s="2" t="s">
        <v>33</v>
      </c>
      <c r="CA1" s="2" t="s">
        <v>34</v>
      </c>
      <c r="CC1" s="2" t="s">
        <v>59</v>
      </c>
      <c r="CD1" s="2" t="s">
        <v>60</v>
      </c>
      <c r="CE1" s="2" t="s">
        <v>39</v>
      </c>
      <c r="CF1" s="2" t="s">
        <v>40</v>
      </c>
      <c r="CG1" s="2" t="s">
        <v>32</v>
      </c>
      <c r="CH1" s="2" t="s">
        <v>33</v>
      </c>
      <c r="CI1" s="2" t="s">
        <v>34</v>
      </c>
      <c r="CK1" s="2" t="s">
        <v>61</v>
      </c>
      <c r="CL1" s="2" t="s">
        <v>62</v>
      </c>
      <c r="CM1" s="2" t="s">
        <v>39</v>
      </c>
      <c r="CN1" s="2" t="s">
        <v>40</v>
      </c>
      <c r="CO1" s="2" t="s">
        <v>32</v>
      </c>
      <c r="CP1" s="2" t="s">
        <v>33</v>
      </c>
      <c r="CQ1" s="2" t="s">
        <v>34</v>
      </c>
      <c r="CS1" s="2" t="s">
        <v>63</v>
      </c>
      <c r="CT1" s="2" t="s">
        <v>64</v>
      </c>
      <c r="CU1" s="2" t="s">
        <v>39</v>
      </c>
      <c r="CV1" s="2" t="s">
        <v>40</v>
      </c>
      <c r="CW1" s="2" t="s">
        <v>32</v>
      </c>
      <c r="CX1" s="2" t="s">
        <v>33</v>
      </c>
      <c r="CY1" s="2" t="s">
        <v>34</v>
      </c>
      <c r="DA1" s="2" t="s">
        <v>65</v>
      </c>
      <c r="DB1" s="2" t="s">
        <v>66</v>
      </c>
      <c r="DC1" s="2" t="s">
        <v>39</v>
      </c>
      <c r="DD1" s="2" t="s">
        <v>40</v>
      </c>
      <c r="DE1" s="2" t="s">
        <v>32</v>
      </c>
      <c r="DF1" s="2" t="s">
        <v>33</v>
      </c>
      <c r="DG1" s="2" t="s">
        <v>34</v>
      </c>
      <c r="DI1" s="2" t="s">
        <v>67</v>
      </c>
      <c r="DJ1" s="2" t="s">
        <v>68</v>
      </c>
      <c r="DK1" s="2" t="s">
        <v>39</v>
      </c>
      <c r="DL1" s="2" t="s">
        <v>40</v>
      </c>
      <c r="DM1" s="2" t="s">
        <v>32</v>
      </c>
      <c r="DN1" s="2" t="s">
        <v>33</v>
      </c>
      <c r="DO1" s="2" t="s">
        <v>34</v>
      </c>
      <c r="DQ1" s="2" t="s">
        <v>69</v>
      </c>
      <c r="DR1" s="2" t="s">
        <v>70</v>
      </c>
      <c r="DS1" s="2" t="s">
        <v>39</v>
      </c>
      <c r="DT1" s="2" t="s">
        <v>40</v>
      </c>
      <c r="DU1" s="2" t="s">
        <v>32</v>
      </c>
      <c r="DV1" s="2" t="s">
        <v>33</v>
      </c>
      <c r="DW1" s="2" t="s">
        <v>34</v>
      </c>
      <c r="DY1" s="2" t="s">
        <v>71</v>
      </c>
      <c r="DZ1" s="2" t="s">
        <v>72</v>
      </c>
      <c r="EA1" s="2" t="s">
        <v>39</v>
      </c>
      <c r="EB1" s="2" t="s">
        <v>40</v>
      </c>
      <c r="EC1" s="2" t="s">
        <v>32</v>
      </c>
      <c r="ED1" s="2" t="s">
        <v>33</v>
      </c>
      <c r="EE1" s="2" t="s">
        <v>34</v>
      </c>
      <c r="EG1" s="2" t="s">
        <v>73</v>
      </c>
      <c r="EH1" s="2" t="s">
        <v>74</v>
      </c>
      <c r="EI1" s="2" t="s">
        <v>39</v>
      </c>
      <c r="EJ1" s="2" t="s">
        <v>40</v>
      </c>
      <c r="EK1" s="2" t="s">
        <v>32</v>
      </c>
      <c r="EL1" s="2" t="s">
        <v>33</v>
      </c>
      <c r="EM1" s="2" t="s">
        <v>34</v>
      </c>
      <c r="EO1" s="2" t="s">
        <v>75</v>
      </c>
      <c r="EP1" s="2" t="s">
        <v>76</v>
      </c>
      <c r="EQ1" s="2" t="s">
        <v>39</v>
      </c>
      <c r="ER1" s="2" t="s">
        <v>40</v>
      </c>
      <c r="ES1" s="2" t="s">
        <v>32</v>
      </c>
      <c r="ET1" s="2" t="s">
        <v>33</v>
      </c>
      <c r="EU1" s="2" t="s">
        <v>34</v>
      </c>
      <c r="EW1" s="2" t="s">
        <v>77</v>
      </c>
      <c r="EX1" s="2" t="s">
        <v>78</v>
      </c>
      <c r="EY1" s="2" t="s">
        <v>39</v>
      </c>
      <c r="EZ1" s="2" t="s">
        <v>40</v>
      </c>
      <c r="FA1" s="2" t="s">
        <v>32</v>
      </c>
      <c r="FB1" s="2" t="s">
        <v>33</v>
      </c>
      <c r="FC1" s="2" t="s">
        <v>34</v>
      </c>
      <c r="FE1" s="2" t="s">
        <v>79</v>
      </c>
      <c r="FF1" s="2" t="s">
        <v>80</v>
      </c>
      <c r="FG1" s="2" t="s">
        <v>39</v>
      </c>
      <c r="FH1" s="2" t="s">
        <v>40</v>
      </c>
      <c r="FI1" s="2" t="s">
        <v>32</v>
      </c>
      <c r="FJ1" s="2" t="s">
        <v>33</v>
      </c>
      <c r="FK1" s="2" t="s">
        <v>34</v>
      </c>
      <c r="FM1" s="2" t="s">
        <v>81</v>
      </c>
      <c r="FN1" s="2" t="s">
        <v>82</v>
      </c>
      <c r="FO1" s="2" t="s">
        <v>39</v>
      </c>
      <c r="FP1" s="2" t="s">
        <v>40</v>
      </c>
      <c r="FQ1" s="2" t="s">
        <v>32</v>
      </c>
      <c r="FR1" s="2" t="s">
        <v>33</v>
      </c>
      <c r="FS1" s="2" t="s">
        <v>34</v>
      </c>
    </row>
    <row r="2" spans="1:175" x14ac:dyDescent="0.25">
      <c r="A2" s="2">
        <v>0</v>
      </c>
      <c r="B2" s="2">
        <v>0</v>
      </c>
      <c r="C2" s="2">
        <f t="shared" ref="C2:C17" si="0">A2/20</f>
        <v>0</v>
      </c>
      <c r="D2" s="2">
        <f>B2/'DIAMETRE (CR,CS)'!$N$3</f>
        <v>0</v>
      </c>
      <c r="E2" s="2">
        <f>MAX(D2:D17)</f>
        <v>15.720869215544166</v>
      </c>
      <c r="F2" s="2">
        <f>INDEX(C2:C17,MATCH(E2,D2:D17,0))</f>
        <v>4.9950000000000001E-2</v>
      </c>
      <c r="G2" s="2">
        <f>SLOPE(D3:D12,C3:C12)</f>
        <v>422.84782106946079</v>
      </c>
      <c r="I2" s="2">
        <v>0</v>
      </c>
      <c r="J2" s="2">
        <v>0</v>
      </c>
      <c r="K2" s="2">
        <f t="shared" ref="K2:K16" si="1">I2/20</f>
        <v>0</v>
      </c>
      <c r="L2" s="2">
        <f>J2/'DIAMETRE (CR,CS)'!$N$4</f>
        <v>0</v>
      </c>
      <c r="M2" s="2">
        <f>MAX(L2:L16)</f>
        <v>18.971905773918728</v>
      </c>
      <c r="N2" s="2">
        <f>INDEX(K2:K16,MATCH(M2,L2:L16,0))</f>
        <v>4.1849999999999998E-2</v>
      </c>
      <c r="O2" s="2">
        <f>SLOPE(L3:L12,K3:K12)</f>
        <v>612.3388972638212</v>
      </c>
      <c r="Q2" s="2">
        <v>0</v>
      </c>
      <c r="R2" s="2">
        <v>0</v>
      </c>
      <c r="S2" s="2">
        <f t="shared" ref="S2:S14" si="2">Q2/20</f>
        <v>0</v>
      </c>
      <c r="T2" s="2">
        <f>R2/'DIAMETRE (CR,CS)'!$N$5</f>
        <v>0</v>
      </c>
      <c r="U2" s="2">
        <f>MAX(T2:T14)</f>
        <v>51.599359015566563</v>
      </c>
      <c r="V2" s="2">
        <f>INDEX(S2:S14,MATCH(U2,T2:T14,0))</f>
        <v>3.49E-2</v>
      </c>
      <c r="W2" s="2">
        <f>SLOPE(T3:T11,S3:S11)</f>
        <v>1923.5671556481811</v>
      </c>
      <c r="Y2" s="2">
        <v>0</v>
      </c>
      <c r="Z2" s="2">
        <v>0</v>
      </c>
      <c r="AA2" s="2">
        <f t="shared" ref="AA2:AA13" si="3">Y2/20</f>
        <v>0</v>
      </c>
      <c r="AB2" s="2">
        <f>Z2/'DIAMETRE (CR,CS)'!$N$6</f>
        <v>0</v>
      </c>
      <c r="AC2" s="2">
        <f>MAX(AB2:AB13)</f>
        <v>360.6639477322941</v>
      </c>
      <c r="AD2" s="2">
        <f>INDEX(AA2:AA13,MATCH(AC2,AB2:AB13,0))</f>
        <v>3.1350000000000003E-2</v>
      </c>
      <c r="AE2" s="2">
        <f>SLOPE(AB3:AB10,AA3:AA10)</f>
        <v>15131.25721481294</v>
      </c>
      <c r="AG2" s="2">
        <v>0</v>
      </c>
      <c r="AH2" s="2">
        <v>0</v>
      </c>
      <c r="AI2" s="2">
        <f t="shared" ref="AI2:AI13" si="4">AG2/20</f>
        <v>0</v>
      </c>
      <c r="AJ2" s="2">
        <f>AH2/'DIAMETRE (CR,CS)'!$N$7</f>
        <v>0</v>
      </c>
      <c r="AK2" s="2">
        <f>MAX(AJ2:AJ13)</f>
        <v>68.651500239460063</v>
      </c>
      <c r="AL2" s="2">
        <f>INDEX(AI2:AI13,MATCH(AK2,AJ2:AJ13,0))</f>
        <v>3.6049999999999999E-2</v>
      </c>
      <c r="AM2" s="2">
        <f>SLOPE(AJ3:AJ11,AI3:AI11)</f>
        <v>2448.4981528133271</v>
      </c>
      <c r="AO2" s="2">
        <v>0</v>
      </c>
      <c r="AP2" s="2">
        <v>0</v>
      </c>
      <c r="AQ2" s="2">
        <f t="shared" ref="AQ2:AQ14" si="5">AO2/20</f>
        <v>0</v>
      </c>
      <c r="AR2" s="2">
        <f>AP2/'DIAMETRE (CR,CS)'!$N$8</f>
        <v>0</v>
      </c>
      <c r="AS2" s="2">
        <f>MAX(AR2:AR14)</f>
        <v>41.981176315566302</v>
      </c>
      <c r="AT2" s="2">
        <f>INDEX(AQ2:AQ14,MATCH(AS2,AR2:AR14,0))</f>
        <v>3.5949999999999996E-2</v>
      </c>
      <c r="AU2" s="2">
        <f>SLOPE(AR3:AR11,AQ3:AQ11)</f>
        <v>1414.9227119670159</v>
      </c>
      <c r="AW2" s="2">
        <v>0</v>
      </c>
      <c r="AX2" s="2">
        <v>0</v>
      </c>
      <c r="AY2" s="2">
        <f t="shared" ref="AY2:AY21" si="6">AW2/20</f>
        <v>0</v>
      </c>
      <c r="AZ2" s="2">
        <f>AX2/'DIAMETRE (CR,CS)'!$N$9</f>
        <v>0</v>
      </c>
      <c r="BA2" s="2">
        <f>MAX(AZ2:AZ21)</f>
        <v>11.616486149098039</v>
      </c>
      <c r="BB2" s="2">
        <f>INDEX(AY2:AY21,MATCH(BA2,AZ2:AZ21,0))</f>
        <v>6.7500000000000004E-2</v>
      </c>
      <c r="BC2" s="2">
        <f>SLOPE(AZ2:AZ11,AY2:AY11)</f>
        <v>159.68737506148332</v>
      </c>
      <c r="BE2" s="2">
        <v>0</v>
      </c>
      <c r="BF2" s="2">
        <v>0</v>
      </c>
      <c r="BG2" s="2">
        <f t="shared" ref="BG2:BG10" si="7">BE2/20</f>
        <v>0</v>
      </c>
      <c r="BH2" s="2">
        <f>BF2/'DIAMETRE (CR,CS)'!$N$10</f>
        <v>0</v>
      </c>
      <c r="BI2" s="2">
        <f>MAX(BH2:BH10)</f>
        <v>15.098916520157307</v>
      </c>
      <c r="BJ2" s="2">
        <f>INDEX(BG2:BG10,MATCH(BI2,BH2:BH10,0))</f>
        <v>2.2850000000000002E-2</v>
      </c>
      <c r="BK2" s="2">
        <f>SLOPE(BH3:BH7,BG3:BG7)</f>
        <v>922.21892682749137</v>
      </c>
      <c r="BM2" s="2">
        <v>0</v>
      </c>
      <c r="BN2" s="2">
        <v>0</v>
      </c>
      <c r="BO2" s="2">
        <f t="shared" ref="BO2:BO19" si="8">BM2/20</f>
        <v>0</v>
      </c>
      <c r="BP2" s="2">
        <f>BN2/'DIAMETRE (CR,CS)'!$N$11</f>
        <v>0</v>
      </c>
      <c r="BQ2" s="2">
        <f>MAX(BP2:BP19)</f>
        <v>879.78235841823312</v>
      </c>
      <c r="BR2" s="2">
        <f>INDEX(BO2:BO19,MATCH(BQ2,BP2:BP19,0))</f>
        <v>5.6750000000000002E-2</v>
      </c>
      <c r="BS2" s="2">
        <f>SLOPE(BP2:BP11,BO2:BO11)</f>
        <v>18292.630139069493</v>
      </c>
      <c r="BU2" s="2">
        <v>0</v>
      </c>
      <c r="BV2" s="2">
        <v>0</v>
      </c>
      <c r="BW2" s="2">
        <f t="shared" ref="BW2:BW14" si="9">BU2/20</f>
        <v>0</v>
      </c>
      <c r="BX2" s="2">
        <f>BV2/'DIAMETRE (CR,CS)'!$N$12</f>
        <v>0</v>
      </c>
      <c r="BY2" s="2">
        <f>MAX(BX2:BX14)</f>
        <v>68.735779542711555</v>
      </c>
      <c r="BZ2" s="2">
        <f>INDEX(BW2:BW14,MATCH(BY2,BX2:BX14,0))</f>
        <v>3.585E-2</v>
      </c>
      <c r="CA2" s="2">
        <f>SLOPE(BX3:BX11,BW3:BW11)</f>
        <v>2313.645306295331</v>
      </c>
      <c r="CC2" s="2">
        <v>0</v>
      </c>
      <c r="CD2" s="2">
        <v>0</v>
      </c>
      <c r="CE2" s="2">
        <f t="shared" ref="CE2:CE16" si="10">CC2/20</f>
        <v>0</v>
      </c>
      <c r="CF2" s="2">
        <f>CD2/'DIAMETRE (CR,CS)'!$N$13</f>
        <v>0</v>
      </c>
      <c r="CG2" s="2">
        <f>MAX(CF2:CF16)</f>
        <v>52.133155440430968</v>
      </c>
      <c r="CH2" s="2">
        <f>INDEX(CE2:CE16,MATCH(CG2,CF2:CF16,0))</f>
        <v>4.0500000000000001E-2</v>
      </c>
      <c r="CI2" s="2">
        <f>SLOPE(CF3:CF9,CE3:CE9)</f>
        <v>2093.929976425231</v>
      </c>
      <c r="CK2" s="2">
        <v>0</v>
      </c>
      <c r="CL2" s="2">
        <v>0</v>
      </c>
      <c r="CM2" s="2">
        <f t="shared" ref="CM2:CM13" si="11">CK2/20</f>
        <v>0</v>
      </c>
      <c r="CN2" s="2">
        <f>CL2/'DIAMETRE (CR,CS)'!$N$14</f>
        <v>0</v>
      </c>
      <c r="CO2" s="2">
        <f>MAX(CN2:CN13)</f>
        <v>56.347326767683128</v>
      </c>
      <c r="CP2" s="2">
        <f>INDEX(CM2:CM13,MATCH(CO2,CN2:CN13,0))</f>
        <v>4.0849999999999997E-2</v>
      </c>
      <c r="CQ2" s="2">
        <f>SLOPE(CN2:CN11,CM2:CM11)</f>
        <v>1380.9072037714693</v>
      </c>
      <c r="CS2" s="2">
        <v>0</v>
      </c>
      <c r="CT2" s="2">
        <v>0</v>
      </c>
      <c r="CU2" s="2">
        <f t="shared" ref="CU2:CU11" si="12">CS2/20</f>
        <v>0</v>
      </c>
      <c r="CV2" s="2">
        <f>CT2/'DIAMETRE (CR,CS)'!$N$15</f>
        <v>0</v>
      </c>
      <c r="CW2" s="2">
        <f>MAX(CV2:CV11)</f>
        <v>15.145314158674378</v>
      </c>
      <c r="CX2" s="2">
        <f>INDEX(CU2:CU11,MATCH(CW2,CV2:CV11,0))</f>
        <v>3.2750000000000001E-2</v>
      </c>
      <c r="CY2" s="2">
        <f>SLOPE(CV2:CV11,CU2:CU11)</f>
        <v>483.74676040774898</v>
      </c>
      <c r="DA2" s="2">
        <v>0</v>
      </c>
      <c r="DB2" s="2">
        <v>0</v>
      </c>
      <c r="DC2" s="2">
        <f t="shared" ref="DC2:DC14" si="13">DA2/20</f>
        <v>0</v>
      </c>
      <c r="DD2" s="2">
        <f>DB2/'DIAMETRE (CR,CS)'!$N$16</f>
        <v>0</v>
      </c>
      <c r="DE2" s="2">
        <f>MAX(DD2:DD14)</f>
        <v>9.6116063091731991</v>
      </c>
      <c r="DF2" s="2">
        <f>INDEX(DC2:DC14,MATCH(DE2,DD2:DD14,0))</f>
        <v>3.4000000000000002E-2</v>
      </c>
      <c r="DG2" s="2">
        <f>SLOPE(DD3:DD11,DC3:DC11)</f>
        <v>341.48345348003977</v>
      </c>
      <c r="DI2" s="2">
        <v>0</v>
      </c>
      <c r="DJ2" s="2">
        <v>0</v>
      </c>
      <c r="DK2" s="2">
        <f t="shared" ref="DK2:DK10" si="14">DI2/20</f>
        <v>0</v>
      </c>
      <c r="DL2" s="2">
        <f>DJ2/'DIAMETRE (CR,CS)'!$N$17</f>
        <v>0</v>
      </c>
      <c r="DM2" s="2">
        <f>MAX(DL2:DL10)</f>
        <v>55.07188553194193</v>
      </c>
      <c r="DN2" s="2">
        <f>INDEX(DK2:DK10,MATCH(DM2,DL2:DL10,0))</f>
        <v>2.07E-2</v>
      </c>
      <c r="DO2" s="2">
        <f>SLOPE(DL3:DL7,DK3:DK7)</f>
        <v>3914.0946799203621</v>
      </c>
      <c r="DQ2" s="2">
        <v>0</v>
      </c>
      <c r="DR2" s="2">
        <v>0</v>
      </c>
      <c r="DS2" s="2">
        <f t="shared" ref="DS2:DS13" si="15">DQ2/20</f>
        <v>0</v>
      </c>
      <c r="DT2" s="2">
        <f>DR2/'DIAMETRE (CR,CS)'!$N$18</f>
        <v>0</v>
      </c>
      <c r="DU2" s="2">
        <f>MAX(DT2:DT13)</f>
        <v>6.2016733664138695</v>
      </c>
      <c r="DV2" s="2">
        <f>INDEX(DS2:DS13,MATCH(DU2,DT2:DT13,0))</f>
        <v>3.2600000000000004E-2</v>
      </c>
      <c r="DW2" s="2">
        <f>SLOPE(DT3:DT10,DS3:DS10)</f>
        <v>247.33842126382123</v>
      </c>
      <c r="DY2" s="2">
        <v>0</v>
      </c>
      <c r="DZ2" s="2">
        <v>0</v>
      </c>
      <c r="EA2" s="2">
        <f t="shared" ref="EA2:EA13" si="16">DY2/20</f>
        <v>0</v>
      </c>
      <c r="EB2" s="2">
        <f>DZ2/'DIAMETRE (CR,CS)'!$N$19</f>
        <v>0</v>
      </c>
      <c r="EC2" s="2">
        <f>MAX(EB2:EB13)</f>
        <v>15.229905771825054</v>
      </c>
      <c r="ED2" s="2">
        <f>INDEX(EA2:EA13,MATCH(EC2,EB2:EB13,0))</f>
        <v>3.1350000000000003E-2</v>
      </c>
      <c r="EE2" s="2">
        <f>SLOPE(EB3:EB10,EA3:EA10)</f>
        <v>645.34634747336906</v>
      </c>
      <c r="EG2" s="2">
        <v>0</v>
      </c>
      <c r="EH2" s="2">
        <v>0</v>
      </c>
      <c r="EI2" s="2">
        <f t="shared" ref="EI2:EI16" si="17">EG2/20</f>
        <v>0</v>
      </c>
      <c r="EJ2" s="2">
        <f>EH2/'DIAMETRE (CR,CS)'!$N$20</f>
        <v>0</v>
      </c>
      <c r="EK2" s="2">
        <f>MAX(EJ2:EJ16)</f>
        <v>189.56215397682985</v>
      </c>
      <c r="EL2" s="2">
        <f>INDEX(EI2:EI16,MATCH(EK2,EJ2:EJ16,0))</f>
        <v>5.2500000000000005E-2</v>
      </c>
      <c r="EM2" s="2">
        <f>SLOPE(EJ2:EJ11,EI2:EI11)</f>
        <v>4157.026823679369</v>
      </c>
      <c r="EO2" s="2">
        <v>0</v>
      </c>
      <c r="EP2" s="2">
        <v>0</v>
      </c>
      <c r="EQ2" s="2">
        <f t="shared" ref="EQ2:EQ15" si="18">EO2/20</f>
        <v>0</v>
      </c>
      <c r="ER2" s="2">
        <f>EP2/'DIAMETRE (CR,CS)'!$N$21</f>
        <v>0</v>
      </c>
      <c r="ES2" s="2">
        <f>MAX(ER2:ER15)</f>
        <v>3.2927108498650153</v>
      </c>
      <c r="ET2" s="2">
        <f>INDEX(EQ2:EQ15,MATCH(ES2,ER2:ER15,0))</f>
        <v>4.0300000000000002E-2</v>
      </c>
      <c r="EU2" s="2">
        <f>SLOPE(ER3:ER11,EQ3:EQ11)</f>
        <v>113.1667701858001</v>
      </c>
      <c r="EW2" s="2">
        <v>0</v>
      </c>
      <c r="EX2" s="2">
        <v>0</v>
      </c>
      <c r="EY2" s="2">
        <f t="shared" ref="EY2:EY12" si="19">EW2/20</f>
        <v>0</v>
      </c>
      <c r="EZ2" s="2">
        <f>EX2/'DIAMETRE (CR,CS)'!$N$22</f>
        <v>0</v>
      </c>
      <c r="FA2" s="2">
        <f>MAX(EZ2:EZ12)</f>
        <v>49.954635389987409</v>
      </c>
      <c r="FB2" s="2">
        <f>INDEX(EY2:EY12,MATCH(FA2,EZ2:EZ12,0))</f>
        <v>3.9850000000000003E-2</v>
      </c>
      <c r="FC2" s="2">
        <f>SLOPE(EZ5:EZ12,EY5:EY12)</f>
        <v>1272.1985201898624</v>
      </c>
      <c r="FE2" s="2">
        <v>0</v>
      </c>
      <c r="FF2" s="2">
        <v>0</v>
      </c>
      <c r="FG2" s="2">
        <f t="shared" ref="FG2:FG12" si="20">FE2/20</f>
        <v>0</v>
      </c>
      <c r="FH2" s="2">
        <f>FF2/'DIAMETRE (CR,CS)'!$N$23</f>
        <v>0</v>
      </c>
      <c r="FI2" s="2">
        <f>MAX(FH2:FH12)</f>
        <v>21.353472976062527</v>
      </c>
      <c r="FJ2" s="2">
        <f>INDEX(FG2:FG12,MATCH(FI2,FH2:FH12,0))</f>
        <v>3.0550000000000001E-2</v>
      </c>
      <c r="FK2" s="2">
        <f>SLOPE(FH3:FH9,FG3:FG9)</f>
        <v>924.40874599205813</v>
      </c>
      <c r="FM2" s="2">
        <v>0</v>
      </c>
      <c r="FN2" s="2">
        <v>0</v>
      </c>
      <c r="FO2" s="2">
        <f t="shared" ref="FO2:FO13" si="21">FM2/20</f>
        <v>0</v>
      </c>
      <c r="FP2" s="2">
        <f>FN2/'DIAMETRE (CR,CS)'!$N$24</f>
        <v>0</v>
      </c>
      <c r="FQ2" s="2">
        <f>MAX(FP2:FP13)</f>
        <v>179.25529167332613</v>
      </c>
      <c r="FR2" s="2">
        <f>INDEX(FO2:FO13,MATCH(FQ2,FP2:FP13,0))</f>
        <v>2.9849999999999998E-2</v>
      </c>
      <c r="FS2" s="2">
        <f>SLOPE(FP3:FP10,FO3:FO10)</f>
        <v>7348.7802520652958</v>
      </c>
    </row>
    <row r="3" spans="1:175" x14ac:dyDescent="0.25">
      <c r="A3" s="2">
        <v>0.27700000000000002</v>
      </c>
      <c r="B3" s="2">
        <v>9.4E-2</v>
      </c>
      <c r="C3" s="2">
        <f t="shared" si="0"/>
        <v>1.3850000000000001E-2</v>
      </c>
      <c r="D3" s="2">
        <f>B3/'DIAMETRE (CR,CS)'!$N$3</f>
        <v>0.91163584593531877</v>
      </c>
      <c r="I3" s="2">
        <v>0.23699999999999999</v>
      </c>
      <c r="J3" s="2">
        <v>0.13</v>
      </c>
      <c r="K3" s="2">
        <f t="shared" si="1"/>
        <v>1.1849999999999999E-2</v>
      </c>
      <c r="L3" s="2">
        <f>J3/'DIAMETRE (CR,CS)'!$N$4</f>
        <v>1.0141232527176953</v>
      </c>
      <c r="Q3" s="2">
        <v>0.15</v>
      </c>
      <c r="R3" s="2">
        <v>0.17199999999999999</v>
      </c>
      <c r="S3" s="2">
        <f t="shared" si="2"/>
        <v>7.4999999999999997E-3</v>
      </c>
      <c r="T3" s="2">
        <f>R3/'DIAMETRE (CR,CS)'!$N$5</f>
        <v>2.721585326794679</v>
      </c>
      <c r="Y3" s="2">
        <v>0.155</v>
      </c>
      <c r="Z3" s="2">
        <v>0.113</v>
      </c>
      <c r="AA3" s="2">
        <f t="shared" si="3"/>
        <v>7.7499999999999999E-3</v>
      </c>
      <c r="AB3" s="2">
        <f>Z3/'DIAMETRE (CR,CS)'!$N$6</f>
        <v>15.083281307827253</v>
      </c>
      <c r="AG3" s="2">
        <v>0.15</v>
      </c>
      <c r="AH3" s="2">
        <v>0.155</v>
      </c>
      <c r="AI3" s="2">
        <f t="shared" si="4"/>
        <v>7.4999999999999997E-3</v>
      </c>
      <c r="AJ3" s="2">
        <f>AH3/'DIAMETRE (CR,CS)'!$N$7</f>
        <v>2.8970820955938765</v>
      </c>
      <c r="AO3" s="2">
        <v>0.14499999999999999</v>
      </c>
      <c r="AP3" s="2">
        <v>0.16200000000000001</v>
      </c>
      <c r="AQ3" s="2">
        <f t="shared" si="5"/>
        <v>7.2499999999999995E-3</v>
      </c>
      <c r="AR3" s="2">
        <f>AP3/'DIAMETRE (CR,CS)'!$N$8</f>
        <v>2.6309286511109251</v>
      </c>
      <c r="AW3" s="2">
        <v>8.1000000000000003E-2</v>
      </c>
      <c r="AX3" s="2">
        <v>8.900000000000001E-2</v>
      </c>
      <c r="AY3" s="2">
        <f t="shared" si="6"/>
        <v>4.0499999999999998E-3</v>
      </c>
      <c r="AZ3" s="2">
        <f>AX3/'DIAMETRE (CR,CS)'!$N$9</f>
        <v>0.76582760538498185</v>
      </c>
      <c r="BE3" s="2">
        <v>0.161</v>
      </c>
      <c r="BF3" s="2">
        <v>0.126</v>
      </c>
      <c r="BG3" s="2">
        <f t="shared" si="7"/>
        <v>8.0499999999999999E-3</v>
      </c>
      <c r="BH3" s="2">
        <f>BF3/'DIAMETRE (CR,CS)'!$N$10</f>
        <v>1.8434723658331593</v>
      </c>
      <c r="BM3" s="2">
        <v>0.155</v>
      </c>
      <c r="BN3" s="2">
        <v>0.217</v>
      </c>
      <c r="BO3" s="2">
        <f t="shared" si="8"/>
        <v>7.7499999999999999E-3</v>
      </c>
      <c r="BP3" s="2">
        <f>BN3/'DIAMETRE (CR,CS)'!$N$11</f>
        <v>40.430489575763779</v>
      </c>
      <c r="BU3" s="2">
        <v>0.152</v>
      </c>
      <c r="BV3" s="2">
        <v>0.11799999999999999</v>
      </c>
      <c r="BW3" s="2">
        <f t="shared" si="9"/>
        <v>7.6E-3</v>
      </c>
      <c r="BX3" s="2">
        <f>BV3/'DIAMETRE (CR,CS)'!$N$12</f>
        <v>6.0438315842324615</v>
      </c>
      <c r="CC3" s="2">
        <v>0.20100000000000001</v>
      </c>
      <c r="CD3" s="2">
        <v>0.19900000000000001</v>
      </c>
      <c r="CE3" s="2">
        <f t="shared" si="10"/>
        <v>1.005E-2</v>
      </c>
      <c r="CF3" s="2">
        <f>CD3/'DIAMETRE (CR,CS)'!$N$13</f>
        <v>4.6273407371301349</v>
      </c>
      <c r="CK3" s="2">
        <v>0.109</v>
      </c>
      <c r="CL3" s="2">
        <v>9.799999999999999E-2</v>
      </c>
      <c r="CM3" s="2">
        <f t="shared" si="11"/>
        <v>5.45E-3</v>
      </c>
      <c r="CN3" s="2">
        <f>CL3/'DIAMETRE (CR,CS)'!$N$14</f>
        <v>7.1252103525586401</v>
      </c>
      <c r="CS3" s="2">
        <v>0.14199999999999999</v>
      </c>
      <c r="CT3" s="2">
        <v>6.9000000000000006E-2</v>
      </c>
      <c r="CU3" s="2">
        <f t="shared" si="12"/>
        <v>7.0999999999999995E-3</v>
      </c>
      <c r="CV3" s="2">
        <f>CT3/'DIAMETRE (CR,CS)'!$N$15</f>
        <v>1.7772562533138303</v>
      </c>
      <c r="DA3" s="2">
        <v>0.14799999999999999</v>
      </c>
      <c r="DB3" s="2">
        <v>0.10100000000000001</v>
      </c>
      <c r="DC3" s="2">
        <f t="shared" si="13"/>
        <v>7.3999999999999995E-3</v>
      </c>
      <c r="DD3" s="2">
        <f>DB3/'DIAMETRE (CR,CS)'!$N$16</f>
        <v>0.83687261829870108</v>
      </c>
      <c r="DI3" s="2">
        <v>0.15</v>
      </c>
      <c r="DJ3" s="2">
        <v>0.17899999999999999</v>
      </c>
      <c r="DK3" s="2">
        <f t="shared" si="14"/>
        <v>7.4999999999999997E-3</v>
      </c>
      <c r="DL3" s="2">
        <f>DJ3/'DIAMETRE (CR,CS)'!$N$17</f>
        <v>5.8330576983536124</v>
      </c>
      <c r="DQ3" s="2">
        <v>0.152</v>
      </c>
      <c r="DR3" s="2">
        <v>5.8999999999999997E-2</v>
      </c>
      <c r="DS3" s="2">
        <f t="shared" si="15"/>
        <v>7.6E-3</v>
      </c>
      <c r="DT3" s="2">
        <f>DR3/'DIAMETRE (CR,CS)'!$N$18</f>
        <v>0.36553319542299534</v>
      </c>
      <c r="DY3" s="2">
        <v>0.152</v>
      </c>
      <c r="DZ3" s="2">
        <v>5.3999999999999999E-2</v>
      </c>
      <c r="EA3" s="2">
        <f t="shared" si="16"/>
        <v>7.6E-3</v>
      </c>
      <c r="EB3" s="2">
        <f>DZ3/'DIAMETRE (CR,CS)'!$N$19</f>
        <v>1.0041696113291245</v>
      </c>
      <c r="EG3" s="2">
        <v>0.16300000000000001</v>
      </c>
      <c r="EH3" s="2">
        <v>9.4E-2</v>
      </c>
      <c r="EI3" s="2">
        <f t="shared" si="17"/>
        <v>8.150000000000001E-3</v>
      </c>
      <c r="EJ3" s="2">
        <f>EH3/'DIAMETRE (CR,CS)'!$N$20</f>
        <v>7.2670646304331177</v>
      </c>
      <c r="EO3" s="2">
        <v>0.19</v>
      </c>
      <c r="EP3" s="2">
        <v>0.113</v>
      </c>
      <c r="EQ3" s="2">
        <f t="shared" si="18"/>
        <v>9.4999999999999998E-3</v>
      </c>
      <c r="ER3" s="2">
        <f>EP3/'DIAMETRE (CR,CS)'!$N$21</f>
        <v>0.30103262624170446</v>
      </c>
      <c r="EW3" s="2">
        <v>0.154</v>
      </c>
      <c r="EX3" s="2">
        <v>6.7000000000000004E-2</v>
      </c>
      <c r="EY3" s="2">
        <f t="shared" si="19"/>
        <v>7.7000000000000002E-3</v>
      </c>
      <c r="EZ3" s="2">
        <f>EX3/'DIAMETRE (CR,CS)'!$N$22</f>
        <v>4.7273454394479613</v>
      </c>
      <c r="FE3" s="2">
        <v>0.16</v>
      </c>
      <c r="FF3" s="2">
        <v>8.8999999999999996E-2</v>
      </c>
      <c r="FG3" s="2">
        <f t="shared" si="20"/>
        <v>8.0000000000000002E-3</v>
      </c>
      <c r="FH3" s="2">
        <f>FF3/'DIAMETRE (CR,CS)'!$N$23</f>
        <v>1.2789092159283748</v>
      </c>
      <c r="FM3" s="2">
        <v>9.1999999999999998E-2</v>
      </c>
      <c r="FN3" s="2">
        <v>6.4000000000000001E-2</v>
      </c>
      <c r="FO3" s="2">
        <f t="shared" si="21"/>
        <v>4.5999999999999999E-3</v>
      </c>
      <c r="FP3" s="2">
        <f>FN3/'DIAMETRE (CR,CS)'!$N$24</f>
        <v>9.6976658217184042</v>
      </c>
    </row>
    <row r="4" spans="1:175" x14ac:dyDescent="0.25">
      <c r="A4" s="2">
        <v>0.34300000000000003</v>
      </c>
      <c r="B4" s="2">
        <v>0.218</v>
      </c>
      <c r="C4" s="2">
        <f t="shared" si="0"/>
        <v>1.7150000000000002E-2</v>
      </c>
      <c r="D4" s="2">
        <f>B4/'DIAMETRE (CR,CS)'!$N$3</f>
        <v>2.1142193022755262</v>
      </c>
      <c r="I4" s="2">
        <v>0.30099999999999999</v>
      </c>
      <c r="J4" s="2">
        <v>0.32</v>
      </c>
      <c r="K4" s="2">
        <f t="shared" si="1"/>
        <v>1.5049999999999999E-2</v>
      </c>
      <c r="L4" s="2">
        <f>J4/'DIAMETRE (CR,CS)'!$N$4</f>
        <v>2.496303391305096</v>
      </c>
      <c r="Q4" s="2">
        <v>0.219</v>
      </c>
      <c r="R4" s="2">
        <v>0.434</v>
      </c>
      <c r="S4" s="2">
        <f t="shared" si="2"/>
        <v>1.095E-2</v>
      </c>
      <c r="T4" s="2">
        <f>R4/'DIAMETRE (CR,CS)'!$N$5</f>
        <v>6.8672559990051791</v>
      </c>
      <c r="Y4" s="2">
        <v>0.221</v>
      </c>
      <c r="Z4" s="2">
        <v>0.30199999999999999</v>
      </c>
      <c r="AA4" s="2">
        <f t="shared" si="3"/>
        <v>1.1050000000000001E-2</v>
      </c>
      <c r="AB4" s="2">
        <f>Z4/'DIAMETRE (CR,CS)'!$N$6</f>
        <v>40.311070397910001</v>
      </c>
      <c r="AG4" s="2">
        <v>0.224</v>
      </c>
      <c r="AH4" s="2">
        <v>0.41</v>
      </c>
      <c r="AI4" s="2">
        <f t="shared" si="4"/>
        <v>1.12E-2</v>
      </c>
      <c r="AJ4" s="2">
        <f>AH4/'DIAMETRE (CR,CS)'!$N$7</f>
        <v>7.6632494141515446</v>
      </c>
      <c r="AO4" s="2">
        <v>0.21199999999999999</v>
      </c>
      <c r="AP4" s="2">
        <v>0.39100000000000001</v>
      </c>
      <c r="AQ4" s="2">
        <f t="shared" si="5"/>
        <v>1.06E-2</v>
      </c>
      <c r="AR4" s="2">
        <f>AP4/'DIAMETRE (CR,CS)'!$N$8</f>
        <v>6.3499574233603191</v>
      </c>
      <c r="AW4" s="2">
        <v>0.17</v>
      </c>
      <c r="AX4" s="2">
        <v>0.154</v>
      </c>
      <c r="AY4" s="2">
        <f t="shared" si="6"/>
        <v>8.5000000000000006E-3</v>
      </c>
      <c r="AZ4" s="2">
        <f>AX4/'DIAMETRE (CR,CS)'!$N$9</f>
        <v>1.325139901452665</v>
      </c>
      <c r="BE4" s="2">
        <v>0.22900000000000001</v>
      </c>
      <c r="BF4" s="2">
        <v>0.30199999999999999</v>
      </c>
      <c r="BG4" s="2">
        <f t="shared" si="7"/>
        <v>1.145E-2</v>
      </c>
      <c r="BH4" s="2">
        <f>BF4/'DIAMETRE (CR,CS)'!$N$10</f>
        <v>4.4184813847747151</v>
      </c>
      <c r="BM4" s="2">
        <v>0.219</v>
      </c>
      <c r="BN4" s="2">
        <v>0.53</v>
      </c>
      <c r="BO4" s="2">
        <f t="shared" si="8"/>
        <v>1.095E-2</v>
      </c>
      <c r="BP4" s="2">
        <f>BN4/'DIAMETRE (CR,CS)'!$N$11</f>
        <v>98.747278687349322</v>
      </c>
      <c r="BU4" s="2">
        <v>0.222</v>
      </c>
      <c r="BV4" s="2">
        <v>0.26800000000000002</v>
      </c>
      <c r="BW4" s="2">
        <f t="shared" si="9"/>
        <v>1.11E-2</v>
      </c>
      <c r="BX4" s="2">
        <f>BV4/'DIAMETRE (CR,CS)'!$N$12</f>
        <v>13.726668343849999</v>
      </c>
      <c r="CC4" s="2">
        <v>0.26700000000000002</v>
      </c>
      <c r="CD4" s="2">
        <v>0.46400000000000002</v>
      </c>
      <c r="CE4" s="2">
        <f t="shared" si="10"/>
        <v>1.3350000000000001E-2</v>
      </c>
      <c r="CF4" s="2">
        <f>CD4/'DIAMETRE (CR,CS)'!$N$13</f>
        <v>10.789377397127552</v>
      </c>
      <c r="CK4" s="2">
        <v>0.20699999999999999</v>
      </c>
      <c r="CL4" s="2">
        <v>0.161</v>
      </c>
      <c r="CM4" s="2">
        <f t="shared" si="11"/>
        <v>1.035E-2</v>
      </c>
      <c r="CN4" s="2">
        <f>CL4/'DIAMETRE (CR,CS)'!$N$14</f>
        <v>11.705702722060623</v>
      </c>
      <c r="CS4" s="2">
        <v>0.21099999999999999</v>
      </c>
      <c r="CT4" s="2">
        <v>0.121</v>
      </c>
      <c r="CU4" s="2">
        <f t="shared" si="12"/>
        <v>1.055E-2</v>
      </c>
      <c r="CV4" s="2">
        <f>CT4/'DIAMETRE (CR,CS)'!$N$15</f>
        <v>3.11663777755034</v>
      </c>
      <c r="DA4" s="2">
        <v>0.215</v>
      </c>
      <c r="DB4" s="2">
        <v>0.22900000000000001</v>
      </c>
      <c r="DC4" s="2">
        <f t="shared" si="13"/>
        <v>1.0749999999999999E-2</v>
      </c>
      <c r="DD4" s="2">
        <f>DB4/'DIAMETRE (CR,CS)'!$N$16</f>
        <v>1.8974636593109162</v>
      </c>
      <c r="DI4" s="2">
        <v>0.215</v>
      </c>
      <c r="DJ4" s="2">
        <v>0.47199999999999998</v>
      </c>
      <c r="DK4" s="2">
        <f t="shared" si="14"/>
        <v>1.0749999999999999E-2</v>
      </c>
      <c r="DL4" s="2">
        <f>DJ4/'DIAMETRE (CR,CS)'!$N$17</f>
        <v>15.381023651524609</v>
      </c>
      <c r="DQ4" s="2">
        <v>0.224</v>
      </c>
      <c r="DR4" s="2">
        <v>0.157</v>
      </c>
      <c r="DS4" s="2">
        <f t="shared" si="15"/>
        <v>1.12E-2</v>
      </c>
      <c r="DT4" s="2">
        <f>DR4/'DIAMETRE (CR,CS)'!$N$18</f>
        <v>0.97269002849847908</v>
      </c>
      <c r="DY4" s="2">
        <v>0.222</v>
      </c>
      <c r="DZ4" s="2">
        <v>0.14499999999999999</v>
      </c>
      <c r="EA4" s="2">
        <f t="shared" si="16"/>
        <v>1.11E-2</v>
      </c>
      <c r="EB4" s="2">
        <f>DZ4/'DIAMETRE (CR,CS)'!$N$19</f>
        <v>2.6963813637541305</v>
      </c>
      <c r="EG4" s="2">
        <v>0.22900000000000001</v>
      </c>
      <c r="EH4" s="2">
        <v>0.23799999999999999</v>
      </c>
      <c r="EI4" s="2">
        <f t="shared" si="17"/>
        <v>1.145E-2</v>
      </c>
      <c r="EJ4" s="2">
        <f>EH4/'DIAMETRE (CR,CS)'!$N$20</f>
        <v>18.399589170671085</v>
      </c>
      <c r="EO4" s="2">
        <v>0.26200000000000001</v>
      </c>
      <c r="EP4" s="2">
        <v>0.26100000000000001</v>
      </c>
      <c r="EQ4" s="2">
        <f t="shared" si="18"/>
        <v>1.3100000000000001E-2</v>
      </c>
      <c r="ER4" s="2">
        <f>EP4/'DIAMETRE (CR,CS)'!$N$21</f>
        <v>0.69530544645207848</v>
      </c>
      <c r="EW4" s="2">
        <v>0.221</v>
      </c>
      <c r="EX4" s="2">
        <v>6.7000000000000004E-2</v>
      </c>
      <c r="EY4" s="2">
        <f t="shared" si="19"/>
        <v>1.1050000000000001E-2</v>
      </c>
      <c r="EZ4" s="2">
        <f>EX4/'DIAMETRE (CR,CS)'!$N$22</f>
        <v>4.7273454394479613</v>
      </c>
      <c r="FE4" s="2">
        <v>0.24199999999999999</v>
      </c>
      <c r="FF4" s="2">
        <v>0.23799999999999999</v>
      </c>
      <c r="FG4" s="2">
        <f t="shared" si="20"/>
        <v>1.21E-2</v>
      </c>
      <c r="FH4" s="2">
        <f>FF4/'DIAMETRE (CR,CS)'!$N$23</f>
        <v>3.4200044201230697</v>
      </c>
      <c r="FM4" s="2">
        <v>0.186</v>
      </c>
      <c r="FN4" s="2">
        <v>0.189</v>
      </c>
      <c r="FO4" s="2">
        <f t="shared" si="21"/>
        <v>9.2999999999999992E-3</v>
      </c>
      <c r="FP4" s="2">
        <f>FN4/'DIAMETRE (CR,CS)'!$N$24</f>
        <v>28.638419379762162</v>
      </c>
    </row>
    <row r="5" spans="1:175" x14ac:dyDescent="0.25">
      <c r="A5" s="2">
        <v>0.40699999999999997</v>
      </c>
      <c r="B5" s="2">
        <v>0.36899999999999999</v>
      </c>
      <c r="C5" s="2">
        <f t="shared" si="0"/>
        <v>2.035E-2</v>
      </c>
      <c r="D5" s="2">
        <f>B5/'DIAMETRE (CR,CS)'!$N$3</f>
        <v>3.5786556079801342</v>
      </c>
      <c r="I5" s="2">
        <v>0.379</v>
      </c>
      <c r="J5" s="2">
        <v>0.55900000000000005</v>
      </c>
      <c r="K5" s="2">
        <f t="shared" si="1"/>
        <v>1.8950000000000002E-2</v>
      </c>
      <c r="L5" s="2">
        <f>J5/'DIAMETRE (CR,CS)'!$N$4</f>
        <v>4.3607299866860902</v>
      </c>
      <c r="Q5" s="2">
        <v>0.219</v>
      </c>
      <c r="R5" s="2">
        <v>0.69599999999999995</v>
      </c>
      <c r="S5" s="2">
        <f t="shared" si="2"/>
        <v>1.095E-2</v>
      </c>
      <c r="T5" s="2">
        <f>R5/'DIAMETRE (CR,CS)'!$N$5</f>
        <v>11.012926671215677</v>
      </c>
      <c r="Y5" s="2">
        <v>0.28299999999999997</v>
      </c>
      <c r="Z5" s="2">
        <v>0.56200000000000006</v>
      </c>
      <c r="AA5" s="2">
        <f t="shared" si="3"/>
        <v>1.4149999999999999E-2</v>
      </c>
      <c r="AB5" s="2">
        <f>Z5/'DIAMETRE (CR,CS)'!$N$6</f>
        <v>75.015965442468286</v>
      </c>
      <c r="AG5" s="2">
        <v>0.28199999999999997</v>
      </c>
      <c r="AH5" s="2">
        <v>0.74099999999999999</v>
      </c>
      <c r="AI5" s="2">
        <f t="shared" si="4"/>
        <v>1.4099999999999998E-2</v>
      </c>
      <c r="AJ5" s="2">
        <f>AH5/'DIAMETRE (CR,CS)'!$N$7</f>
        <v>13.849921502161694</v>
      </c>
      <c r="AO5" s="2">
        <v>0.28599999999999998</v>
      </c>
      <c r="AP5" s="2">
        <v>0.66400000000000003</v>
      </c>
      <c r="AQ5" s="2">
        <f t="shared" si="5"/>
        <v>1.4299999999999998E-2</v>
      </c>
      <c r="AR5" s="2">
        <f>AP5/'DIAMETRE (CR,CS)'!$N$8</f>
        <v>10.783559409491694</v>
      </c>
      <c r="AW5" s="2">
        <v>0.23499999999999999</v>
      </c>
      <c r="AX5" s="2">
        <v>0.23300000000000001</v>
      </c>
      <c r="AY5" s="2">
        <f t="shared" si="6"/>
        <v>1.175E-2</v>
      </c>
      <c r="AZ5" s="2">
        <f>AX5/'DIAMETRE (CR,CS)'!$N$9</f>
        <v>2.0049194612887726</v>
      </c>
      <c r="BE5" s="2">
        <v>0.3</v>
      </c>
      <c r="BF5" s="2">
        <v>0.54</v>
      </c>
      <c r="BG5" s="2">
        <f t="shared" si="7"/>
        <v>1.4999999999999999E-2</v>
      </c>
      <c r="BH5" s="2">
        <f>BF5/'DIAMETRE (CR,CS)'!$N$10</f>
        <v>7.9005958535706835</v>
      </c>
      <c r="BM5" s="2">
        <v>0.28499999999999998</v>
      </c>
      <c r="BN5" s="2">
        <v>0.91900000000000004</v>
      </c>
      <c r="BO5" s="2">
        <f t="shared" si="8"/>
        <v>1.4249999999999999E-2</v>
      </c>
      <c r="BP5" s="2">
        <f>BN5/'DIAMETRE (CR,CS)'!$N$11</f>
        <v>171.22405493146044</v>
      </c>
      <c r="BU5" s="2">
        <v>0.28499999999999998</v>
      </c>
      <c r="BV5" s="2">
        <v>0.442</v>
      </c>
      <c r="BW5" s="2">
        <f t="shared" si="9"/>
        <v>1.4249999999999999E-2</v>
      </c>
      <c r="BX5" s="2">
        <f>BV5/'DIAMETRE (CR,CS)'!$N$12</f>
        <v>22.638758985006341</v>
      </c>
      <c r="CC5" s="2">
        <v>0.33300000000000002</v>
      </c>
      <c r="CD5" s="2">
        <v>0.75800000000000001</v>
      </c>
      <c r="CE5" s="2">
        <f t="shared" si="10"/>
        <v>1.6650000000000002E-2</v>
      </c>
      <c r="CF5" s="2">
        <f>CD5/'DIAMETRE (CR,CS)'!$N$13</f>
        <v>17.625750144445441</v>
      </c>
      <c r="CK5" s="2">
        <v>0.27</v>
      </c>
      <c r="CL5" s="2">
        <v>0.23200000000000001</v>
      </c>
      <c r="CM5" s="2">
        <f t="shared" si="11"/>
        <v>1.3500000000000002E-2</v>
      </c>
      <c r="CN5" s="2">
        <f>CL5/'DIAMETRE (CR,CS)'!$N$14</f>
        <v>16.867844916261273</v>
      </c>
      <c r="CS5" s="2">
        <v>0.26300000000000001</v>
      </c>
      <c r="CT5" s="2">
        <v>0.193</v>
      </c>
      <c r="CU5" s="2">
        <f t="shared" si="12"/>
        <v>1.315E-2</v>
      </c>
      <c r="CV5" s="2">
        <f>CT5/'DIAMETRE (CR,CS)'!$N$15</f>
        <v>4.9711660418778152</v>
      </c>
      <c r="DA5" s="2">
        <v>0.29899999999999999</v>
      </c>
      <c r="DB5" s="2">
        <v>0.38500000000000001</v>
      </c>
      <c r="DC5" s="2">
        <f t="shared" si="13"/>
        <v>1.495E-2</v>
      </c>
      <c r="DD5" s="2">
        <f>DB5/'DIAMETRE (CR,CS)'!$N$16</f>
        <v>3.1900589905445536</v>
      </c>
      <c r="DI5" s="2">
        <v>0.28000000000000003</v>
      </c>
      <c r="DJ5" s="2">
        <v>0.88800000000000001</v>
      </c>
      <c r="DK5" s="2">
        <f t="shared" si="14"/>
        <v>1.4000000000000002E-2</v>
      </c>
      <c r="DL5" s="2">
        <f>DJ5/'DIAMETRE (CR,CS)'!$N$17</f>
        <v>28.93718009015647</v>
      </c>
      <c r="DQ5" s="2">
        <v>0.28999999999999998</v>
      </c>
      <c r="DR5" s="2">
        <v>0.28799999999999998</v>
      </c>
      <c r="DS5" s="2">
        <f t="shared" si="15"/>
        <v>1.4499999999999999E-2</v>
      </c>
      <c r="DT5" s="2">
        <f>DR5/'DIAMETRE (CR,CS)'!$N$18</f>
        <v>1.7842976318952992</v>
      </c>
      <c r="DY5" s="2">
        <v>0.28199999999999997</v>
      </c>
      <c r="DZ5" s="2">
        <v>0.26500000000000001</v>
      </c>
      <c r="EA5" s="2">
        <f t="shared" si="16"/>
        <v>1.4099999999999998E-2</v>
      </c>
      <c r="EB5" s="2">
        <f>DZ5/'DIAMETRE (CR,CS)'!$N$19</f>
        <v>4.9278693889299632</v>
      </c>
      <c r="EG5" s="2">
        <v>0.29899999999999999</v>
      </c>
      <c r="EH5" s="2">
        <v>0.435</v>
      </c>
      <c r="EI5" s="2">
        <f t="shared" si="17"/>
        <v>1.495E-2</v>
      </c>
      <c r="EJ5" s="2">
        <f>EH5/'DIAMETRE (CR,CS)'!$N$20</f>
        <v>33.629501215302191</v>
      </c>
      <c r="EO5" s="2">
        <v>0.32500000000000001</v>
      </c>
      <c r="EP5" s="2">
        <v>0.41799999999999998</v>
      </c>
      <c r="EQ5" s="2">
        <f t="shared" si="18"/>
        <v>1.6250000000000001E-2</v>
      </c>
      <c r="ER5" s="2">
        <f>EP5/'DIAMETRE (CR,CS)'!$N$21</f>
        <v>1.1135543165401103</v>
      </c>
      <c r="EW5" s="2">
        <v>0.221</v>
      </c>
      <c r="EX5" s="2">
        <v>0.21099999999999999</v>
      </c>
      <c r="EY5" s="2">
        <f t="shared" si="19"/>
        <v>1.1050000000000001E-2</v>
      </c>
      <c r="EZ5" s="2">
        <f>EX5/'DIAMETRE (CR,CS)'!$N$22</f>
        <v>14.887610264530146</v>
      </c>
      <c r="FE5" s="2">
        <v>0.311</v>
      </c>
      <c r="FF5" s="2">
        <v>0.435</v>
      </c>
      <c r="FG5" s="2">
        <f t="shared" si="20"/>
        <v>1.555E-2</v>
      </c>
      <c r="FH5" s="2">
        <f>FF5/'DIAMETRE (CR,CS)'!$N$23</f>
        <v>6.2508484149308208</v>
      </c>
      <c r="FM5" s="2">
        <v>0.26300000000000001</v>
      </c>
      <c r="FN5" s="2">
        <v>0.36399999999999999</v>
      </c>
      <c r="FO5" s="2">
        <f t="shared" si="21"/>
        <v>1.315E-2</v>
      </c>
      <c r="FP5" s="2">
        <f>FN5/'DIAMETRE (CR,CS)'!$N$24</f>
        <v>55.155474361023423</v>
      </c>
    </row>
    <row r="6" spans="1:175" x14ac:dyDescent="0.25">
      <c r="A6" s="2">
        <v>0.49</v>
      </c>
      <c r="B6" s="2">
        <v>0.55000000000000004</v>
      </c>
      <c r="C6" s="2">
        <f t="shared" si="0"/>
        <v>2.4500000000000001E-2</v>
      </c>
      <c r="D6" s="2">
        <f>B6/'DIAMETRE (CR,CS)'!$N$3</f>
        <v>5.334039524089631</v>
      </c>
      <c r="I6" s="2">
        <v>0.44900000000000001</v>
      </c>
      <c r="J6" s="2">
        <v>0.85599999999999998</v>
      </c>
      <c r="K6" s="2">
        <f t="shared" si="1"/>
        <v>2.2450000000000001E-2</v>
      </c>
      <c r="L6" s="2">
        <f>J6/'DIAMETRE (CR,CS)'!$N$4</f>
        <v>6.6776115717411315</v>
      </c>
      <c r="Q6" s="2">
        <v>0.34</v>
      </c>
      <c r="R6" s="2">
        <v>1.1339999999999999</v>
      </c>
      <c r="S6" s="2">
        <f t="shared" si="2"/>
        <v>1.7000000000000001E-2</v>
      </c>
      <c r="T6" s="2">
        <f>R6/'DIAMETRE (CR,CS)'!$N$5</f>
        <v>17.943475352239336</v>
      </c>
      <c r="Y6" s="2">
        <v>0.34499999999999997</v>
      </c>
      <c r="Z6" s="2">
        <v>0.90300000000000002</v>
      </c>
      <c r="AA6" s="2">
        <f t="shared" si="3"/>
        <v>1.7249999999999998E-2</v>
      </c>
      <c r="AB6" s="2">
        <f>Z6/'DIAMETRE (CR,CS)'!$N$6</f>
        <v>120.53277009706203</v>
      </c>
      <c r="AG6" s="2">
        <v>0.34200000000000003</v>
      </c>
      <c r="AH6" s="2">
        <v>1.163</v>
      </c>
      <c r="AI6" s="2">
        <f t="shared" si="4"/>
        <v>1.7100000000000001E-2</v>
      </c>
      <c r="AJ6" s="2">
        <f>AH6/'DIAMETRE (CR,CS)'!$N$7</f>
        <v>21.737461143068895</v>
      </c>
      <c r="AO6" s="2">
        <v>0.372</v>
      </c>
      <c r="AP6" s="2">
        <v>1.0149999999999999</v>
      </c>
      <c r="AQ6" s="2">
        <f t="shared" si="5"/>
        <v>1.8599999999999998E-2</v>
      </c>
      <c r="AR6" s="2">
        <f>AP6/'DIAMETRE (CR,CS)'!$N$8</f>
        <v>16.483904820232031</v>
      </c>
      <c r="AW6" s="2">
        <v>0.314</v>
      </c>
      <c r="AX6" s="2">
        <v>0.30399999999999999</v>
      </c>
      <c r="AY6" s="2">
        <f t="shared" si="6"/>
        <v>1.5699999999999999E-2</v>
      </c>
      <c r="AZ6" s="2">
        <f>AX6/'DIAMETRE (CR,CS)'!$N$9</f>
        <v>2.6158605846857803</v>
      </c>
      <c r="BE6" s="2">
        <v>0.38400000000000001</v>
      </c>
      <c r="BF6" s="2">
        <v>0.84099999999999997</v>
      </c>
      <c r="BG6" s="2">
        <f t="shared" si="7"/>
        <v>1.9200000000000002E-2</v>
      </c>
      <c r="BH6" s="2">
        <f>BF6/'DIAMETRE (CR,CS)'!$N$10</f>
        <v>12.304446505283231</v>
      </c>
      <c r="BM6" s="2">
        <v>0.34499999999999997</v>
      </c>
      <c r="BN6" s="2">
        <v>1.369</v>
      </c>
      <c r="BO6" s="2">
        <f t="shared" si="8"/>
        <v>1.7249999999999998E-2</v>
      </c>
      <c r="BP6" s="2">
        <f>BN6/'DIAMETRE (CR,CS)'!$N$11</f>
        <v>255.06608400562496</v>
      </c>
      <c r="BU6" s="2">
        <v>0.34300000000000003</v>
      </c>
      <c r="BV6" s="2">
        <v>0.629</v>
      </c>
      <c r="BW6" s="2">
        <f t="shared" si="9"/>
        <v>1.7150000000000002E-2</v>
      </c>
      <c r="BX6" s="2">
        <f>BV6/'DIAMETRE (CR,CS)'!$N$12</f>
        <v>32.216695478662871</v>
      </c>
      <c r="CC6" s="2">
        <v>0.38700000000000001</v>
      </c>
      <c r="CD6" s="2">
        <v>1.079</v>
      </c>
      <c r="CE6" s="2">
        <f t="shared" si="10"/>
        <v>1.9349999999999999E-2</v>
      </c>
      <c r="CF6" s="2">
        <f>CD6/'DIAMETRE (CR,CS)'!$N$13</f>
        <v>25.089953042027215</v>
      </c>
      <c r="CK6" s="2">
        <v>0.34100000000000003</v>
      </c>
      <c r="CL6" s="2">
        <v>0.30099999999999999</v>
      </c>
      <c r="CM6" s="2">
        <f t="shared" si="11"/>
        <v>1.7050000000000003E-2</v>
      </c>
      <c r="CN6" s="2">
        <f>CL6/'DIAMETRE (CR,CS)'!$N$14</f>
        <v>21.884574654287253</v>
      </c>
      <c r="CS6" s="2">
        <v>0.33500000000000002</v>
      </c>
      <c r="CT6" s="2">
        <v>0.24299999999999999</v>
      </c>
      <c r="CU6" s="2">
        <f t="shared" si="12"/>
        <v>1.6750000000000001E-2</v>
      </c>
      <c r="CV6" s="2">
        <f>CT6/'DIAMETRE (CR,CS)'!$N$15</f>
        <v>6.2590328921052283</v>
      </c>
      <c r="DA6" s="2">
        <v>0.34</v>
      </c>
      <c r="DB6" s="2">
        <v>0.56399999999999995</v>
      </c>
      <c r="DC6" s="2">
        <f t="shared" si="13"/>
        <v>1.7000000000000001E-2</v>
      </c>
      <c r="DD6" s="2">
        <f>DB6/'DIAMETRE (CR,CS)'!$N$16</f>
        <v>4.6732292744600725</v>
      </c>
      <c r="DI6" s="2">
        <v>0.35099999999999998</v>
      </c>
      <c r="DJ6" s="2">
        <v>1.4319999999999999</v>
      </c>
      <c r="DK6" s="2">
        <f t="shared" si="14"/>
        <v>1.755E-2</v>
      </c>
      <c r="DL6" s="2">
        <f>DJ6/'DIAMETRE (CR,CS)'!$N$17</f>
        <v>46.664461586828899</v>
      </c>
      <c r="DQ6" s="2">
        <v>0.36499999999999999</v>
      </c>
      <c r="DR6" s="2">
        <v>0.45400000000000001</v>
      </c>
      <c r="DS6" s="2">
        <f t="shared" si="15"/>
        <v>1.8249999999999999E-2</v>
      </c>
      <c r="DT6" s="2">
        <f>DR6/'DIAMETRE (CR,CS)'!$N$18</f>
        <v>2.8127469613905065</v>
      </c>
      <c r="DY6" s="2">
        <v>0.34200000000000003</v>
      </c>
      <c r="DZ6" s="2">
        <v>0.39800000000000002</v>
      </c>
      <c r="EA6" s="2">
        <f t="shared" si="16"/>
        <v>1.7100000000000001E-2</v>
      </c>
      <c r="EB6" s="2">
        <f>DZ6/'DIAMETRE (CR,CS)'!$N$19</f>
        <v>7.4011019501665105</v>
      </c>
      <c r="EG6" s="2">
        <v>0.36</v>
      </c>
      <c r="EH6" s="2">
        <v>0.66500000000000004</v>
      </c>
      <c r="EI6" s="2">
        <f t="shared" si="17"/>
        <v>1.7999999999999999E-2</v>
      </c>
      <c r="EJ6" s="2">
        <f>EH6/'DIAMETRE (CR,CS)'!$N$20</f>
        <v>51.410616800404505</v>
      </c>
      <c r="EO6" s="2">
        <v>0.39500000000000002</v>
      </c>
      <c r="EP6" s="2">
        <v>0.60899999999999999</v>
      </c>
      <c r="EQ6" s="2">
        <f t="shared" si="18"/>
        <v>1.975E-2</v>
      </c>
      <c r="ER6" s="2">
        <f>EP6/'DIAMETRE (CR,CS)'!$N$21</f>
        <v>1.6223793750548496</v>
      </c>
      <c r="EW6" s="2">
        <v>0.36499999999999999</v>
      </c>
      <c r="EX6" s="2">
        <v>0.28799999999999998</v>
      </c>
      <c r="EY6" s="2">
        <f t="shared" si="19"/>
        <v>1.8249999999999999E-2</v>
      </c>
      <c r="EZ6" s="2">
        <f>EX6/'DIAMETRE (CR,CS)'!$N$22</f>
        <v>20.320529650164367</v>
      </c>
      <c r="FE6" s="2">
        <v>0.39</v>
      </c>
      <c r="FF6" s="2">
        <v>0.68300000000000005</v>
      </c>
      <c r="FG6" s="2">
        <f t="shared" si="20"/>
        <v>1.95E-2</v>
      </c>
      <c r="FH6" s="2">
        <f>FF6/'DIAMETRE (CR,CS)'!$N$23</f>
        <v>9.8145504997649446</v>
      </c>
      <c r="FM6" s="2">
        <v>0.33700000000000002</v>
      </c>
      <c r="FN6" s="2">
        <v>0.56999999999999995</v>
      </c>
      <c r="FO6" s="2">
        <f t="shared" si="21"/>
        <v>1.685E-2</v>
      </c>
      <c r="FP6" s="2">
        <f>FN6/'DIAMETRE (CR,CS)'!$N$24</f>
        <v>86.369836224679531</v>
      </c>
    </row>
    <row r="7" spans="1:175" x14ac:dyDescent="0.25">
      <c r="A7" s="2">
        <v>0.56499999999999995</v>
      </c>
      <c r="B7" s="2">
        <v>0.76</v>
      </c>
      <c r="C7" s="2">
        <f t="shared" si="0"/>
        <v>2.8249999999999997E-2</v>
      </c>
      <c r="D7" s="2">
        <f>B7/'DIAMETRE (CR,CS)'!$N$3</f>
        <v>7.3706727969238539</v>
      </c>
      <c r="I7" s="2">
        <v>0.51</v>
      </c>
      <c r="J7" s="2">
        <v>1.1919999999999999</v>
      </c>
      <c r="K7" s="2">
        <f t="shared" si="1"/>
        <v>2.5500000000000002E-2</v>
      </c>
      <c r="L7" s="2">
        <f>J7/'DIAMETRE (CR,CS)'!$N$4</f>
        <v>9.2987301326114817</v>
      </c>
      <c r="Q7" s="2">
        <v>0.41</v>
      </c>
      <c r="R7" s="2">
        <v>1.6719999999999999</v>
      </c>
      <c r="S7" s="2">
        <f t="shared" si="2"/>
        <v>2.0499999999999997E-2</v>
      </c>
      <c r="T7" s="2">
        <f>R7/'DIAMETRE (CR,CS)'!$N$5</f>
        <v>26.456341083725018</v>
      </c>
      <c r="Y7" s="2">
        <v>0.42199999999999999</v>
      </c>
      <c r="Z7" s="2">
        <v>1.3560000000000001</v>
      </c>
      <c r="AA7" s="2">
        <f t="shared" si="3"/>
        <v>2.1100000000000001E-2</v>
      </c>
      <c r="AB7" s="2">
        <f>Z7/'DIAMETRE (CR,CS)'!$N$6</f>
        <v>180.99937569392705</v>
      </c>
      <c r="AG7" s="2">
        <v>0.435</v>
      </c>
      <c r="AH7" s="2">
        <v>1.7210000000000001</v>
      </c>
      <c r="AI7" s="2">
        <f t="shared" si="4"/>
        <v>2.1749999999999999E-2</v>
      </c>
      <c r="AJ7" s="2">
        <f>AH7/'DIAMETRE (CR,CS)'!$N$7</f>
        <v>32.166956687206849</v>
      </c>
      <c r="AO7" s="2">
        <v>0.44</v>
      </c>
      <c r="AP7" s="2">
        <v>1.425</v>
      </c>
      <c r="AQ7" s="2">
        <f t="shared" si="5"/>
        <v>2.1999999999999999E-2</v>
      </c>
      <c r="AR7" s="2">
        <f>AP7/'DIAMETRE (CR,CS)'!$N$8</f>
        <v>23.142427949586843</v>
      </c>
      <c r="AW7" s="2">
        <v>0.38500000000000001</v>
      </c>
      <c r="AX7" s="2">
        <v>0.36699999999999999</v>
      </c>
      <c r="AY7" s="2">
        <f t="shared" si="6"/>
        <v>1.925E-2</v>
      </c>
      <c r="AZ7" s="2">
        <f>AX7/'DIAMETRE (CR,CS)'!$N$9</f>
        <v>3.1579632716436885</v>
      </c>
      <c r="BE7" s="2">
        <v>0.45700000000000002</v>
      </c>
      <c r="BF7" s="2">
        <v>1.032</v>
      </c>
      <c r="BG7" s="2">
        <f t="shared" si="7"/>
        <v>2.2850000000000002E-2</v>
      </c>
      <c r="BH7" s="2">
        <f>BF7/'DIAMETRE (CR,CS)'!$N$10</f>
        <v>15.098916520157307</v>
      </c>
      <c r="BM7" s="2">
        <v>0.42599999999999999</v>
      </c>
      <c r="BN7" s="2">
        <v>1.8879999999999999</v>
      </c>
      <c r="BO7" s="2">
        <f t="shared" si="8"/>
        <v>2.1299999999999999E-2</v>
      </c>
      <c r="BP7" s="2">
        <f>BN7/'DIAMETRE (CR,CS)'!$N$11</f>
        <v>351.76389087116132</v>
      </c>
      <c r="BU7" s="2">
        <v>0.42</v>
      </c>
      <c r="BV7" s="2">
        <v>0.84899999999999998</v>
      </c>
      <c r="BW7" s="2">
        <f t="shared" si="9"/>
        <v>2.0999999999999998E-2</v>
      </c>
      <c r="BX7" s="2">
        <f>BV7/'DIAMETRE (CR,CS)'!$N$12</f>
        <v>43.484856059435252</v>
      </c>
      <c r="CC7" s="2">
        <v>0.45</v>
      </c>
      <c r="CD7" s="2">
        <v>1.4350000000000001</v>
      </c>
      <c r="CE7" s="2">
        <f t="shared" si="10"/>
        <v>2.2499999999999999E-2</v>
      </c>
      <c r="CF7" s="2">
        <f>CD7/'DIAMETRE (CR,CS)'!$N$13</f>
        <v>33.368009838099219</v>
      </c>
      <c r="CK7" s="2">
        <v>0.41</v>
      </c>
      <c r="CL7" s="2">
        <v>0.36299999999999999</v>
      </c>
      <c r="CM7" s="2">
        <f t="shared" si="11"/>
        <v>2.0499999999999997E-2</v>
      </c>
      <c r="CN7" s="2">
        <f>CL7/'DIAMETRE (CR,CS)'!$N$14</f>
        <v>26.392360795701901</v>
      </c>
      <c r="CS7" s="2">
        <v>0.38500000000000001</v>
      </c>
      <c r="CT7" s="2">
        <v>0.30800000000000011</v>
      </c>
      <c r="CU7" s="2">
        <f t="shared" si="12"/>
        <v>1.925E-2</v>
      </c>
      <c r="CV7" s="2">
        <f>CT7/'DIAMETRE (CR,CS)'!$N$15</f>
        <v>7.9332597974008676</v>
      </c>
      <c r="DA7" s="2">
        <v>0.42</v>
      </c>
      <c r="DB7" s="2">
        <v>0.753</v>
      </c>
      <c r="DC7" s="2">
        <f t="shared" si="13"/>
        <v>2.0999999999999998E-2</v>
      </c>
      <c r="DD7" s="2">
        <f>DB7/'DIAMETRE (CR,CS)'!$N$16</f>
        <v>6.239258233454672</v>
      </c>
      <c r="DI7" s="2">
        <v>0.41399999999999998</v>
      </c>
      <c r="DJ7" s="2">
        <v>1.69</v>
      </c>
      <c r="DK7" s="2">
        <f t="shared" si="14"/>
        <v>2.07E-2</v>
      </c>
      <c r="DL7" s="2">
        <f>DJ7/'DIAMETRE (CR,CS)'!$N$17</f>
        <v>55.07188553194193</v>
      </c>
      <c r="DQ7" s="2">
        <v>0.437</v>
      </c>
      <c r="DR7" s="2">
        <v>0.63300000000000001</v>
      </c>
      <c r="DS7" s="2">
        <f t="shared" si="15"/>
        <v>2.1850000000000001E-2</v>
      </c>
      <c r="DT7" s="2">
        <f>DR7/'DIAMETRE (CR,CS)'!$N$18</f>
        <v>3.9217375034365434</v>
      </c>
      <c r="DY7" s="2">
        <v>0.42699999999999999</v>
      </c>
      <c r="DZ7" s="2">
        <v>0.55700000000000005</v>
      </c>
      <c r="EA7" s="2">
        <f t="shared" si="16"/>
        <v>2.1350000000000001E-2</v>
      </c>
      <c r="EB7" s="2">
        <f>DZ7/'DIAMETRE (CR,CS)'!$N$19</f>
        <v>10.357823583524489</v>
      </c>
      <c r="EG7" s="2">
        <v>0.41799999999999998</v>
      </c>
      <c r="EH7" s="2">
        <v>0.92500000000000004</v>
      </c>
      <c r="EI7" s="2">
        <f t="shared" si="17"/>
        <v>2.0899999999999998E-2</v>
      </c>
      <c r="EJ7" s="2">
        <f>EH7/'DIAMETRE (CR,CS)'!$N$20</f>
        <v>71.511008331389732</v>
      </c>
      <c r="EO7" s="2">
        <v>0.48</v>
      </c>
      <c r="EP7" s="2">
        <v>0.82399999999999995</v>
      </c>
      <c r="EQ7" s="2">
        <f t="shared" si="18"/>
        <v>2.4E-2</v>
      </c>
      <c r="ER7" s="2">
        <f>EP7/'DIAMETRE (CR,CS)'!$N$21</f>
        <v>2.1951405665766766</v>
      </c>
      <c r="EW7" s="2">
        <v>0.442</v>
      </c>
      <c r="EX7" s="2">
        <v>0.34599999999999997</v>
      </c>
      <c r="EY7" s="2">
        <f t="shared" si="19"/>
        <v>2.2100000000000002E-2</v>
      </c>
      <c r="EZ7" s="2">
        <f>EX7/'DIAMETRE (CR,CS)'!$N$22</f>
        <v>24.412858538044691</v>
      </c>
      <c r="FE7" s="2">
        <v>0.46899999999999997</v>
      </c>
      <c r="FF7" s="2">
        <v>0.99299999999999999</v>
      </c>
      <c r="FG7" s="2">
        <f t="shared" si="20"/>
        <v>2.3449999999999999E-2</v>
      </c>
      <c r="FH7" s="2">
        <f>FF7/'DIAMETRE (CR,CS)'!$N$23</f>
        <v>14.269178105807597</v>
      </c>
      <c r="FM7" s="2">
        <v>0.40699999999999997</v>
      </c>
      <c r="FN7" s="2">
        <v>0.79500000000000004</v>
      </c>
      <c r="FO7" s="2">
        <f t="shared" si="21"/>
        <v>2.035E-2</v>
      </c>
      <c r="FP7" s="2">
        <f>FN7/'DIAMETRE (CR,CS)'!$N$24</f>
        <v>120.46319262915831</v>
      </c>
    </row>
    <row r="8" spans="1:175" x14ac:dyDescent="0.25">
      <c r="A8" s="2">
        <v>0.65100000000000002</v>
      </c>
      <c r="B8" s="2">
        <v>0.90300000000000002</v>
      </c>
      <c r="C8" s="2">
        <f t="shared" si="0"/>
        <v>3.2550000000000003E-2</v>
      </c>
      <c r="D8" s="2">
        <f>B8/'DIAMETRE (CR,CS)'!$N$3</f>
        <v>8.7575230731871585</v>
      </c>
      <c r="I8" s="2">
        <v>0.58199999999999996</v>
      </c>
      <c r="J8" s="2">
        <v>1.452</v>
      </c>
      <c r="K8" s="2">
        <f t="shared" si="1"/>
        <v>2.9099999999999997E-2</v>
      </c>
      <c r="L8" s="2">
        <f>J8/'DIAMETRE (CR,CS)'!$N$4</f>
        <v>11.326976638046872</v>
      </c>
      <c r="Q8" s="2">
        <v>0.47499999999999998</v>
      </c>
      <c r="R8" s="2">
        <v>2.1360000000000001</v>
      </c>
      <c r="S8" s="2">
        <f t="shared" si="2"/>
        <v>2.375E-2</v>
      </c>
      <c r="T8" s="2">
        <f>R8/'DIAMETRE (CR,CS)'!$N$5</f>
        <v>33.798292197868811</v>
      </c>
      <c r="Y8" s="2">
        <v>0.48499999999999999</v>
      </c>
      <c r="Z8" s="2">
        <v>1.782</v>
      </c>
      <c r="AA8" s="2">
        <f t="shared" si="3"/>
        <v>2.4250000000000001E-2</v>
      </c>
      <c r="AB8" s="2">
        <f>Z8/'DIAMETRE (CR,CS)'!$N$6</f>
        <v>237.86201142078022</v>
      </c>
      <c r="AG8" s="2">
        <v>0.50700000000000001</v>
      </c>
      <c r="AH8" s="2">
        <v>2.266</v>
      </c>
      <c r="AI8" s="2">
        <f t="shared" si="4"/>
        <v>2.5350000000000001E-2</v>
      </c>
      <c r="AJ8" s="2">
        <f>AH8/'DIAMETRE (CR,CS)'!$N$7</f>
        <v>42.353471152359511</v>
      </c>
      <c r="AO8" s="2">
        <v>0.44</v>
      </c>
      <c r="AP8" s="2">
        <v>1.6719999999999999</v>
      </c>
      <c r="AQ8" s="2">
        <f t="shared" si="5"/>
        <v>2.1999999999999999E-2</v>
      </c>
      <c r="AR8" s="2">
        <f>AP8/'DIAMETRE (CR,CS)'!$N$8</f>
        <v>27.153782127515225</v>
      </c>
      <c r="AW8" s="2">
        <v>0.44800000000000001</v>
      </c>
      <c r="AX8" s="2">
        <v>0.434</v>
      </c>
      <c r="AY8" s="2">
        <f t="shared" si="6"/>
        <v>2.24E-2</v>
      </c>
      <c r="AZ8" s="2">
        <f>AX8/'DIAMETRE (CR,CS)'!$N$9</f>
        <v>3.7344851768211469</v>
      </c>
      <c r="BE8" s="2">
        <v>0.52700000000000002</v>
      </c>
      <c r="BF8" s="2">
        <v>0.91</v>
      </c>
      <c r="BG8" s="2">
        <f t="shared" si="7"/>
        <v>2.6350000000000002E-2</v>
      </c>
      <c r="BH8" s="2">
        <f>BF8/'DIAMETRE (CR,CS)'!$N$10</f>
        <v>13.313967086572818</v>
      </c>
      <c r="BM8" s="2">
        <v>0.495</v>
      </c>
      <c r="BN8" s="2">
        <v>2.2290000000000001</v>
      </c>
      <c r="BO8" s="2">
        <f t="shared" si="8"/>
        <v>2.4750000000000001E-2</v>
      </c>
      <c r="BP8" s="2">
        <f>BN8/'DIAMETRE (CR,CS)'!$N$11</f>
        <v>415.29751734736158</v>
      </c>
      <c r="BU8" s="2">
        <v>0.499</v>
      </c>
      <c r="BV8" s="2">
        <v>0.98399999999999999</v>
      </c>
      <c r="BW8" s="2">
        <f t="shared" si="9"/>
        <v>2.495E-2</v>
      </c>
      <c r="BX8" s="2">
        <f>BV8/'DIAMETRE (CR,CS)'!$N$12</f>
        <v>50.399409143091034</v>
      </c>
      <c r="CC8" s="2">
        <v>0.51</v>
      </c>
      <c r="CD8" s="2">
        <v>1.6240000000000001</v>
      </c>
      <c r="CE8" s="2">
        <f t="shared" si="10"/>
        <v>2.5500000000000002E-2</v>
      </c>
      <c r="CF8" s="2">
        <f>CD8/'DIAMETRE (CR,CS)'!$N$13</f>
        <v>37.762820889946433</v>
      </c>
      <c r="CK8" s="2">
        <v>0.47199999999999998</v>
      </c>
      <c r="CL8" s="2">
        <v>0.43600000000000011</v>
      </c>
      <c r="CM8" s="2">
        <f t="shared" si="11"/>
        <v>2.3599999999999999E-2</v>
      </c>
      <c r="CN8" s="2">
        <f>CL8/'DIAMETRE (CR,CS)'!$N$14</f>
        <v>31.699915446077224</v>
      </c>
      <c r="CS8" s="2">
        <v>0.45</v>
      </c>
      <c r="CT8" s="2">
        <v>0.39200000000000002</v>
      </c>
      <c r="CU8" s="2">
        <f t="shared" si="12"/>
        <v>2.2499999999999999E-2</v>
      </c>
      <c r="CV8" s="2">
        <f>CT8/'DIAMETRE (CR,CS)'!$N$15</f>
        <v>10.09687610578292</v>
      </c>
      <c r="DA8" s="2">
        <v>0.495</v>
      </c>
      <c r="DB8" s="2">
        <v>0.86599999999999999</v>
      </c>
      <c r="DC8" s="2">
        <f t="shared" si="13"/>
        <v>2.4750000000000001E-2</v>
      </c>
      <c r="DD8" s="2">
        <f>DB8/'DIAMETRE (CR,CS)'!$N$16</f>
        <v>7.1755612618482685</v>
      </c>
      <c r="DI8" s="2">
        <v>0.5</v>
      </c>
      <c r="DJ8" s="2">
        <v>1.5129999999999999</v>
      </c>
      <c r="DK8" s="2">
        <f t="shared" si="14"/>
        <v>2.5000000000000001E-2</v>
      </c>
      <c r="DL8" s="2">
        <f>DJ8/'DIAMETRE (CR,CS)'!$N$17</f>
        <v>49.304001662620195</v>
      </c>
      <c r="DQ8" s="2">
        <v>0.504</v>
      </c>
      <c r="DR8" s="2">
        <v>0.77800000000000002</v>
      </c>
      <c r="DS8" s="2">
        <f t="shared" si="15"/>
        <v>2.52E-2</v>
      </c>
      <c r="DT8" s="2">
        <f>DR8/'DIAMETRE (CR,CS)'!$N$18</f>
        <v>4.8200817972727181</v>
      </c>
      <c r="DY8" s="2">
        <v>0.495</v>
      </c>
      <c r="DZ8" s="2">
        <v>0.68200000000000005</v>
      </c>
      <c r="EA8" s="2">
        <f t="shared" si="16"/>
        <v>2.4750000000000001E-2</v>
      </c>
      <c r="EB8" s="2">
        <f>DZ8/'DIAMETRE (CR,CS)'!$N$19</f>
        <v>12.68229027641598</v>
      </c>
      <c r="EG8" s="2">
        <v>0.502</v>
      </c>
      <c r="EH8" s="2">
        <v>1.133</v>
      </c>
      <c r="EI8" s="2">
        <f t="shared" si="17"/>
        <v>2.5100000000000001E-2</v>
      </c>
      <c r="EJ8" s="2">
        <f>EH8/'DIAMETRE (CR,CS)'!$N$20</f>
        <v>87.591321556177903</v>
      </c>
      <c r="EO8" s="2">
        <v>0.54500000000000004</v>
      </c>
      <c r="EP8" s="2">
        <v>0.96199999999999997</v>
      </c>
      <c r="EQ8" s="2">
        <f t="shared" si="18"/>
        <v>2.7250000000000003E-2</v>
      </c>
      <c r="ER8" s="2">
        <f>EP8/'DIAMETRE (CR,CS)'!$N$21</f>
        <v>2.5627733313674308</v>
      </c>
      <c r="EW8" s="2">
        <v>0.5</v>
      </c>
      <c r="EX8" s="2">
        <v>0.42799999999999988</v>
      </c>
      <c r="EY8" s="2">
        <f t="shared" si="19"/>
        <v>2.5000000000000001E-2</v>
      </c>
      <c r="EZ8" s="2">
        <f>EX8/'DIAMETRE (CR,CS)'!$N$22</f>
        <v>30.198564896772041</v>
      </c>
      <c r="FE8" s="2">
        <v>0.54500000000000004</v>
      </c>
      <c r="FF8" s="2">
        <v>1.27</v>
      </c>
      <c r="FG8" s="2">
        <f t="shared" si="20"/>
        <v>2.7250000000000003E-2</v>
      </c>
      <c r="FH8" s="2">
        <f>FF8/'DIAMETRE (CR,CS)'!$N$23</f>
        <v>18.249603418303774</v>
      </c>
      <c r="FM8" s="2">
        <v>0.47399999999999998</v>
      </c>
      <c r="FN8" s="2">
        <v>0.99399999999999999</v>
      </c>
      <c r="FO8" s="2">
        <f t="shared" si="21"/>
        <v>2.3699999999999999E-2</v>
      </c>
      <c r="FP8" s="2">
        <f>FN8/'DIAMETRE (CR,CS)'!$N$24</f>
        <v>150.61687229356397</v>
      </c>
    </row>
    <row r="9" spans="1:175" x14ac:dyDescent="0.25">
      <c r="A9" s="2">
        <v>0.72699999999999998</v>
      </c>
      <c r="B9" s="2">
        <v>1.054</v>
      </c>
      <c r="C9" s="2">
        <f t="shared" si="0"/>
        <v>3.635E-2</v>
      </c>
      <c r="D9" s="2">
        <f>B9/'DIAMETRE (CR,CS)'!$N$3</f>
        <v>10.221959378891766</v>
      </c>
      <c r="I9" s="2">
        <v>0.65200000000000002</v>
      </c>
      <c r="J9" s="2">
        <v>1.702</v>
      </c>
      <c r="K9" s="2">
        <f t="shared" si="1"/>
        <v>3.2600000000000004E-2</v>
      </c>
      <c r="L9" s="2">
        <f>J9/'DIAMETRE (CR,CS)'!$N$4</f>
        <v>13.277213662503978</v>
      </c>
      <c r="Q9" s="2">
        <v>0.54500000000000004</v>
      </c>
      <c r="R9" s="2">
        <v>2.6309999999999998</v>
      </c>
      <c r="S9" s="2">
        <f t="shared" si="2"/>
        <v>2.7250000000000003E-2</v>
      </c>
      <c r="T9" s="2">
        <f>R9/'DIAMETRE (CR,CS)'!$N$5</f>
        <v>41.630761597655813</v>
      </c>
      <c r="Y9" s="2">
        <v>0.54700000000000004</v>
      </c>
      <c r="Z9" s="2">
        <v>2.2120000000000002</v>
      </c>
      <c r="AA9" s="2">
        <f t="shared" si="3"/>
        <v>2.7350000000000003E-2</v>
      </c>
      <c r="AB9" s="2">
        <f>Z9/'DIAMETRE (CR,CS)'!$N$6</f>
        <v>295.25856860985738</v>
      </c>
      <c r="AG9" s="2">
        <v>0.58899999999999997</v>
      </c>
      <c r="AH9" s="2">
        <v>2.8610000000000002</v>
      </c>
      <c r="AI9" s="2">
        <f t="shared" si="4"/>
        <v>2.9449999999999997E-2</v>
      </c>
      <c r="AJ9" s="2">
        <f>AH9/'DIAMETRE (CR,CS)'!$N$7</f>
        <v>53.474528228994075</v>
      </c>
      <c r="AO9" s="2">
        <v>0.56200000000000006</v>
      </c>
      <c r="AP9" s="2">
        <v>1.9590000000000001</v>
      </c>
      <c r="AQ9" s="2">
        <f t="shared" si="5"/>
        <v>2.8100000000000003E-2</v>
      </c>
      <c r="AR9" s="2">
        <f>AP9/'DIAMETRE (CR,CS)'!$N$8</f>
        <v>31.814748318063597</v>
      </c>
      <c r="AW9" s="2">
        <v>0.51500000000000001</v>
      </c>
      <c r="AX9" s="2">
        <v>0.50900000000000001</v>
      </c>
      <c r="AY9" s="2">
        <f t="shared" si="6"/>
        <v>2.5750000000000002E-2</v>
      </c>
      <c r="AZ9" s="2">
        <f>AX9/'DIAMETRE (CR,CS)'!$N$9</f>
        <v>4.3798455184377048</v>
      </c>
      <c r="BE9" s="2">
        <v>0.59499999999999997</v>
      </c>
      <c r="BF9" s="2">
        <v>0.73099999999999998</v>
      </c>
      <c r="BG9" s="2">
        <f t="shared" si="7"/>
        <v>2.9749999999999999E-2</v>
      </c>
      <c r="BH9" s="2">
        <f>BF9/'DIAMETRE (CR,CS)'!$N$10</f>
        <v>10.695065868444757</v>
      </c>
      <c r="BM9" s="2">
        <v>0.56399999999999995</v>
      </c>
      <c r="BN9" s="2">
        <v>2.5230000000000001</v>
      </c>
      <c r="BO9" s="2">
        <f t="shared" si="8"/>
        <v>2.8199999999999996E-2</v>
      </c>
      <c r="BP9" s="2">
        <f>BN9/'DIAMETRE (CR,CS)'!$N$11</f>
        <v>470.07430967581575</v>
      </c>
      <c r="BU9" s="2">
        <v>0.55500000000000005</v>
      </c>
      <c r="BV9" s="2">
        <v>1.0940000000000001</v>
      </c>
      <c r="BW9" s="2">
        <f t="shared" si="9"/>
        <v>2.7750000000000004E-2</v>
      </c>
      <c r="BX9" s="2">
        <f>BV9/'DIAMETRE (CR,CS)'!$N$12</f>
        <v>56.033489433477236</v>
      </c>
      <c r="CC9" s="2">
        <v>0.57299999999999995</v>
      </c>
      <c r="CD9" s="2">
        <v>1.782</v>
      </c>
      <c r="CE9" s="2">
        <f t="shared" si="10"/>
        <v>2.8649999999999998E-2</v>
      </c>
      <c r="CF9" s="2">
        <f>CD9/'DIAMETRE (CR,CS)'!$N$13</f>
        <v>41.43678991741659</v>
      </c>
      <c r="CK9" s="2">
        <v>0.54500000000000004</v>
      </c>
      <c r="CL9" s="2">
        <v>0.51</v>
      </c>
      <c r="CM9" s="2">
        <f t="shared" si="11"/>
        <v>2.7250000000000003E-2</v>
      </c>
      <c r="CN9" s="2">
        <f>CL9/'DIAMETRE (CR,CS)'!$N$14</f>
        <v>37.080176324539863</v>
      </c>
      <c r="CS9" s="2">
        <v>0.53400000000000003</v>
      </c>
      <c r="CT9" s="2">
        <v>0.45</v>
      </c>
      <c r="CU9" s="2">
        <f t="shared" si="12"/>
        <v>2.6700000000000002E-2</v>
      </c>
      <c r="CV9" s="2">
        <f>CT9/'DIAMETRE (CR,CS)'!$N$15</f>
        <v>11.59080165204672</v>
      </c>
      <c r="DA9" s="2">
        <v>0.55200000000000005</v>
      </c>
      <c r="DB9" s="2">
        <v>0.97099999999999997</v>
      </c>
      <c r="DC9" s="2">
        <f t="shared" si="13"/>
        <v>2.7600000000000003E-2</v>
      </c>
      <c r="DD9" s="2">
        <f>DB9/'DIAMETRE (CR,CS)'!$N$16</f>
        <v>8.0455773501786005</v>
      </c>
      <c r="DI9" s="2">
        <v>0.56999999999999995</v>
      </c>
      <c r="DJ9" s="2">
        <v>1.222</v>
      </c>
      <c r="DK9" s="2">
        <f t="shared" si="14"/>
        <v>2.8499999999999998E-2</v>
      </c>
      <c r="DL9" s="2">
        <f>DJ9/'DIAMETRE (CR,CS)'!$N$17</f>
        <v>39.821209538481085</v>
      </c>
      <c r="DQ9" s="2">
        <v>0.57799999999999996</v>
      </c>
      <c r="DR9" s="2">
        <v>0.89800000000000002</v>
      </c>
      <c r="DS9" s="2">
        <f t="shared" si="15"/>
        <v>2.8899999999999999E-2</v>
      </c>
      <c r="DT9" s="2">
        <f>DR9/'DIAMETRE (CR,CS)'!$N$18</f>
        <v>5.5635391438957598</v>
      </c>
      <c r="DY9" s="2">
        <v>0.56100000000000005</v>
      </c>
      <c r="DZ9" s="2">
        <v>0.78500000000000003</v>
      </c>
      <c r="EA9" s="2">
        <f t="shared" si="16"/>
        <v>2.8050000000000002E-2</v>
      </c>
      <c r="EB9" s="2">
        <f>DZ9/'DIAMETRE (CR,CS)'!$N$19</f>
        <v>14.597650831358569</v>
      </c>
      <c r="EG9" s="2">
        <v>0.56999999999999995</v>
      </c>
      <c r="EH9" s="2">
        <v>1.3220000000000001</v>
      </c>
      <c r="EI9" s="2">
        <f t="shared" si="17"/>
        <v>2.8499999999999998E-2</v>
      </c>
      <c r="EJ9" s="2">
        <f>EH9/'DIAMETRE (CR,CS)'!$N$20</f>
        <v>102.20276001524024</v>
      </c>
      <c r="EO9" s="2">
        <v>0.61699999999999999</v>
      </c>
      <c r="EP9" s="2">
        <v>1.087</v>
      </c>
      <c r="EQ9" s="2">
        <f t="shared" si="18"/>
        <v>3.0849999999999999E-2</v>
      </c>
      <c r="ER9" s="2">
        <f>EP9/'DIAMETRE (CR,CS)'!$N$21</f>
        <v>2.8957740241126793</v>
      </c>
      <c r="EW9" s="2">
        <v>0.58199999999999996</v>
      </c>
      <c r="EX9" s="2">
        <v>0.50600000000000001</v>
      </c>
      <c r="EY9" s="2">
        <f t="shared" si="19"/>
        <v>2.9099999999999997E-2</v>
      </c>
      <c r="EZ9" s="2">
        <f>EX9/'DIAMETRE (CR,CS)'!$N$22</f>
        <v>35.702041677024901</v>
      </c>
      <c r="FE9" s="2">
        <v>0.61099999999999999</v>
      </c>
      <c r="FF9" s="2">
        <v>1.486</v>
      </c>
      <c r="FG9" s="2">
        <f t="shared" si="20"/>
        <v>3.0550000000000001E-2</v>
      </c>
      <c r="FH9" s="2">
        <f>FF9/'DIAMETRE (CR,CS)'!$N$23</f>
        <v>21.353472976062527</v>
      </c>
      <c r="FM9" s="2">
        <v>0.53700000000000003</v>
      </c>
      <c r="FN9" s="2">
        <v>1.111</v>
      </c>
      <c r="FO9" s="2">
        <f t="shared" si="21"/>
        <v>2.6850000000000002E-2</v>
      </c>
      <c r="FP9" s="2">
        <f>FN9/'DIAMETRE (CR,CS)'!$N$24</f>
        <v>168.34541762389293</v>
      </c>
    </row>
    <row r="10" spans="1:175" x14ac:dyDescent="0.25">
      <c r="A10" s="2">
        <v>0.79400000000000004</v>
      </c>
      <c r="B10" s="2">
        <v>1.2070000000000001</v>
      </c>
      <c r="C10" s="2">
        <f t="shared" si="0"/>
        <v>3.9699999999999999E-2</v>
      </c>
      <c r="D10" s="2">
        <f>B10/'DIAMETRE (CR,CS)'!$N$3</f>
        <v>11.7057921919567</v>
      </c>
      <c r="I10" s="2">
        <v>0.71499999999999997</v>
      </c>
      <c r="J10" s="2">
        <v>1.952</v>
      </c>
      <c r="K10" s="2">
        <f t="shared" si="1"/>
        <v>3.5749999999999997E-2</v>
      </c>
      <c r="L10" s="2">
        <f>J10/'DIAMETRE (CR,CS)'!$N$4</f>
        <v>15.227450686961086</v>
      </c>
      <c r="Q10" s="2">
        <v>0.622</v>
      </c>
      <c r="R10" s="2">
        <v>3.2269999999999999</v>
      </c>
      <c r="S10" s="2">
        <f t="shared" si="2"/>
        <v>3.1099999999999999E-2</v>
      </c>
      <c r="T10" s="2">
        <f>R10/'DIAMETRE (CR,CS)'!$N$5</f>
        <v>51.061371218409477</v>
      </c>
      <c r="Y10" s="2">
        <v>0.627</v>
      </c>
      <c r="Z10" s="2">
        <v>2.702</v>
      </c>
      <c r="AA10" s="2">
        <f t="shared" si="3"/>
        <v>3.1350000000000003E-2</v>
      </c>
      <c r="AB10" s="2">
        <f>Z10/'DIAMETRE (CR,CS)'!$N$6</f>
        <v>360.6639477322941</v>
      </c>
      <c r="AG10" s="2">
        <v>0.66500000000000004</v>
      </c>
      <c r="AH10" s="2">
        <v>3.492</v>
      </c>
      <c r="AI10" s="2">
        <f t="shared" si="4"/>
        <v>3.3250000000000002E-2</v>
      </c>
      <c r="AJ10" s="2">
        <f>AH10/'DIAMETRE (CR,CS)'!$N$7</f>
        <v>65.268455985895599</v>
      </c>
      <c r="AO10" s="2">
        <v>0.64500000000000002</v>
      </c>
      <c r="AP10" s="2">
        <v>2.278</v>
      </c>
      <c r="AQ10" s="2">
        <f t="shared" si="5"/>
        <v>3.2250000000000001E-2</v>
      </c>
      <c r="AR10" s="2">
        <f>AP10/'DIAMETRE (CR,CS)'!$N$8</f>
        <v>36.995404118707945</v>
      </c>
      <c r="AW10" s="2">
        <v>0.59</v>
      </c>
      <c r="AX10" s="2">
        <v>0.57800000000000007</v>
      </c>
      <c r="AY10" s="2">
        <f t="shared" si="6"/>
        <v>2.9499999999999998E-2</v>
      </c>
      <c r="AZ10" s="2">
        <f>AX10/'DIAMETRE (CR,CS)'!$N$9</f>
        <v>4.973577032724938</v>
      </c>
      <c r="BE10" s="2">
        <v>0.66</v>
      </c>
      <c r="BF10" s="2">
        <v>0.496</v>
      </c>
      <c r="BG10" s="2">
        <f t="shared" si="7"/>
        <v>3.3000000000000002E-2</v>
      </c>
      <c r="BH10" s="2">
        <f>BF10/'DIAMETRE (CR,CS)'!$N$10</f>
        <v>7.2568435988352942</v>
      </c>
      <c r="BM10" s="2">
        <v>0.63100000000000001</v>
      </c>
      <c r="BN10" s="2">
        <v>2.7930000000000001</v>
      </c>
      <c r="BO10" s="2">
        <f t="shared" si="8"/>
        <v>3.1550000000000002E-2</v>
      </c>
      <c r="BP10" s="2">
        <f>BN10/'DIAMETRE (CR,CS)'!$N$11</f>
        <v>520.37952712031449</v>
      </c>
      <c r="BU10" s="2">
        <v>0.61699999999999999</v>
      </c>
      <c r="BV10" s="2">
        <v>1.214</v>
      </c>
      <c r="BW10" s="2">
        <f t="shared" si="9"/>
        <v>3.0849999999999999E-2</v>
      </c>
      <c r="BX10" s="2">
        <f>BV10/'DIAMETRE (CR,CS)'!$N$12</f>
        <v>62.179758841171257</v>
      </c>
      <c r="CC10" s="2">
        <v>0.65700000000000003</v>
      </c>
      <c r="CD10" s="2">
        <v>1.9590000000000001</v>
      </c>
      <c r="CE10" s="2">
        <f t="shared" si="10"/>
        <v>3.2850000000000004E-2</v>
      </c>
      <c r="CF10" s="2">
        <f>CD10/'DIAMETRE (CR,CS)'!$N$13</f>
        <v>45.552565346924297</v>
      </c>
      <c r="CK10" s="2">
        <v>0.61899999999999999</v>
      </c>
      <c r="CL10" s="2">
        <v>0.57100000000000006</v>
      </c>
      <c r="CM10" s="2">
        <f t="shared" si="11"/>
        <v>3.0949999999999998E-2</v>
      </c>
      <c r="CN10" s="2">
        <f>CL10/'DIAMETRE (CR,CS)'!$N$14</f>
        <v>41.515256237867185</v>
      </c>
      <c r="CS10" s="2">
        <v>0.59199999999999997</v>
      </c>
      <c r="CT10" s="2">
        <v>0.51300000000000001</v>
      </c>
      <c r="CU10" s="2">
        <f t="shared" si="12"/>
        <v>2.9599999999999998E-2</v>
      </c>
      <c r="CV10" s="2">
        <f>CT10/'DIAMETRE (CR,CS)'!$N$15</f>
        <v>13.21351388333326</v>
      </c>
      <c r="DA10" s="2">
        <v>0.61499999999999999</v>
      </c>
      <c r="DB10" s="2">
        <v>1.0669999999999999</v>
      </c>
      <c r="DC10" s="2">
        <f t="shared" si="13"/>
        <v>3.075E-2</v>
      </c>
      <c r="DD10" s="2">
        <f>DB10/'DIAMETRE (CR,CS)'!$N$16</f>
        <v>8.841020630937761</v>
      </c>
      <c r="DI10" s="2">
        <v>0.63700000000000001</v>
      </c>
      <c r="DJ10" s="2">
        <v>0.80200000000000005</v>
      </c>
      <c r="DK10" s="2">
        <f t="shared" si="14"/>
        <v>3.1850000000000003E-2</v>
      </c>
      <c r="DL10" s="2">
        <f>DJ10/'DIAMETRE (CR,CS)'!$N$17</f>
        <v>26.13470544178546</v>
      </c>
      <c r="DQ10" s="2">
        <v>0.65200000000000002</v>
      </c>
      <c r="DR10" s="2">
        <v>1.0009999999999999</v>
      </c>
      <c r="DS10" s="2">
        <f t="shared" si="15"/>
        <v>3.2600000000000004E-2</v>
      </c>
      <c r="DT10" s="2">
        <f>DR10/'DIAMETRE (CR,CS)'!$N$18</f>
        <v>6.2016733664138695</v>
      </c>
      <c r="DY10" s="2">
        <v>0.627</v>
      </c>
      <c r="DZ10" s="2">
        <v>0.81899999999999995</v>
      </c>
      <c r="EA10" s="2">
        <f t="shared" si="16"/>
        <v>3.1350000000000003E-2</v>
      </c>
      <c r="EB10" s="2">
        <f>DZ10/'DIAMETRE (CR,CS)'!$N$19</f>
        <v>15.229905771825054</v>
      </c>
      <c r="EG10" s="2">
        <v>0.56999999999999995</v>
      </c>
      <c r="EH10" s="2">
        <v>1.454</v>
      </c>
      <c r="EI10" s="2">
        <f t="shared" si="17"/>
        <v>2.8499999999999998E-2</v>
      </c>
      <c r="EJ10" s="2">
        <f>EH10/'DIAMETRE (CR,CS)'!$N$20</f>
        <v>112.40757417712503</v>
      </c>
      <c r="EO10" s="2">
        <v>0.68899999999999995</v>
      </c>
      <c r="EP10" s="2">
        <v>1.214</v>
      </c>
      <c r="EQ10" s="2">
        <f t="shared" si="18"/>
        <v>3.4449999999999995E-2</v>
      </c>
      <c r="ER10" s="2">
        <f>EP10/'DIAMETRE (CR,CS)'!$N$21</f>
        <v>3.2341027279418517</v>
      </c>
      <c r="EW10" s="2">
        <v>0.66</v>
      </c>
      <c r="EX10" s="2">
        <v>0.58299999999999996</v>
      </c>
      <c r="EY10" s="2">
        <f t="shared" si="19"/>
        <v>3.3000000000000002E-2</v>
      </c>
      <c r="EZ10" s="2">
        <f>EX10/'DIAMETRE (CR,CS)'!$N$22</f>
        <v>41.134961062659123</v>
      </c>
      <c r="FE10" s="2">
        <v>0.66700000000000004</v>
      </c>
      <c r="FF10" s="2">
        <v>1.29</v>
      </c>
      <c r="FG10" s="2">
        <f t="shared" si="20"/>
        <v>3.3350000000000005E-2</v>
      </c>
      <c r="FH10" s="2">
        <f>FF10/'DIAMETRE (CR,CS)'!$N$23</f>
        <v>18.536998747725882</v>
      </c>
      <c r="FM10" s="2">
        <v>0.59699999999999998</v>
      </c>
      <c r="FN10" s="2">
        <v>1.1830000000000001</v>
      </c>
      <c r="FO10" s="2">
        <f t="shared" si="21"/>
        <v>2.9849999999999998E-2</v>
      </c>
      <c r="FP10" s="2">
        <f>FN10/'DIAMETRE (CR,CS)'!$N$24</f>
        <v>179.25529167332613</v>
      </c>
    </row>
    <row r="11" spans="1:175" x14ac:dyDescent="0.25">
      <c r="A11">
        <v>0.86399999999999999</v>
      </c>
      <c r="B11">
        <v>1.3640000000000001</v>
      </c>
      <c r="C11">
        <f t="shared" si="0"/>
        <v>4.3200000000000002E-2</v>
      </c>
      <c r="D11">
        <f>B11/'DIAMETRE (CR,CS)'!$N$3</f>
        <v>13.228418019742286</v>
      </c>
      <c r="I11">
        <v>0.77700000000000002</v>
      </c>
      <c r="J11">
        <v>2.1880000000000002</v>
      </c>
      <c r="K11">
        <f t="shared" si="1"/>
        <v>3.8850000000000003E-2</v>
      </c>
      <c r="L11">
        <f>J11/'DIAMETRE (CR,CS)'!$N$4</f>
        <v>17.068474438048597</v>
      </c>
      <c r="Q11">
        <v>0.69799999999999995</v>
      </c>
      <c r="R11">
        <v>3.2610000000000001</v>
      </c>
      <c r="S11">
        <f t="shared" si="2"/>
        <v>3.49E-2</v>
      </c>
      <c r="T11">
        <f>R11/'DIAMETRE (CR,CS)'!$N$5</f>
        <v>51.599359015566563</v>
      </c>
      <c r="Y11">
        <v>0.69299999999999995</v>
      </c>
      <c r="Z11">
        <v>2.4129999999999998</v>
      </c>
      <c r="AA11">
        <f t="shared" si="3"/>
        <v>3.465E-2</v>
      </c>
      <c r="AB11">
        <f>Z11/'DIAMETRE (CR,CS)'!$N$6</f>
        <v>322.08812208661203</v>
      </c>
      <c r="AG11">
        <v>0.72099999999999997</v>
      </c>
      <c r="AH11">
        <v>3.673</v>
      </c>
      <c r="AI11">
        <f t="shared" si="4"/>
        <v>3.6049999999999999E-2</v>
      </c>
      <c r="AJ11">
        <f>AH11/'DIAMETRE (CR,CS)'!$N$7</f>
        <v>68.651500239460063</v>
      </c>
      <c r="AO11">
        <v>0.71899999999999997</v>
      </c>
      <c r="AP11">
        <v>2.585</v>
      </c>
      <c r="AQ11">
        <f t="shared" si="5"/>
        <v>3.5949999999999996E-2</v>
      </c>
      <c r="AR11">
        <f>AP11/'DIAMETRE (CR,CS)'!$N$8</f>
        <v>41.981176315566302</v>
      </c>
      <c r="AW11">
        <v>0.65900000000000003</v>
      </c>
      <c r="AX11">
        <v>0.57800000000000007</v>
      </c>
      <c r="AY11">
        <f t="shared" si="6"/>
        <v>3.295E-2</v>
      </c>
      <c r="AZ11">
        <f>AX11/'DIAMETRE (CR,CS)'!$N$9</f>
        <v>4.973577032724938</v>
      </c>
      <c r="BM11">
        <v>0.69799999999999995</v>
      </c>
      <c r="BN11">
        <v>3.0529999999999999</v>
      </c>
      <c r="BO11">
        <f t="shared" si="8"/>
        <v>3.49E-2</v>
      </c>
      <c r="BP11">
        <f>BN11/'DIAMETRE (CR,CS)'!$N$11</f>
        <v>568.82158836316501</v>
      </c>
      <c r="BU11">
        <v>0.71699999999999997</v>
      </c>
      <c r="BV11">
        <v>1.3420000000000001</v>
      </c>
      <c r="BW11">
        <f t="shared" si="9"/>
        <v>3.585E-2</v>
      </c>
      <c r="BX11">
        <f>BV11/'DIAMETRE (CR,CS)'!$N$12</f>
        <v>68.735779542711555</v>
      </c>
      <c r="CC11">
        <v>0.73199999999999998</v>
      </c>
      <c r="CD11">
        <v>2.153</v>
      </c>
      <c r="CE11">
        <f t="shared" si="10"/>
        <v>3.6600000000000001E-2</v>
      </c>
      <c r="CF11">
        <f>CD11/'DIAMETRE (CR,CS)'!$N$13</f>
        <v>50.063641241412967</v>
      </c>
      <c r="CK11">
        <v>0.68</v>
      </c>
      <c r="CL11">
        <v>0.64</v>
      </c>
      <c r="CM11">
        <f t="shared" si="11"/>
        <v>3.4000000000000002E-2</v>
      </c>
      <c r="CN11">
        <f>CL11/'DIAMETRE (CR,CS)'!$N$14</f>
        <v>46.531985975893164</v>
      </c>
      <c r="CS11">
        <v>0.65500000000000003</v>
      </c>
      <c r="CT11">
        <v>0.58799999999999997</v>
      </c>
      <c r="CU11">
        <f t="shared" si="12"/>
        <v>3.2750000000000001E-2</v>
      </c>
      <c r="CV11">
        <f>CT11/'DIAMETRE (CR,CS)'!$N$15</f>
        <v>15.145314158674378</v>
      </c>
      <c r="DA11">
        <v>0.68</v>
      </c>
      <c r="DB11">
        <v>1.1599999999999999</v>
      </c>
      <c r="DC11">
        <f t="shared" si="13"/>
        <v>3.4000000000000002E-2</v>
      </c>
      <c r="DD11">
        <f>DB11/'DIAMETRE (CR,CS)'!$N$16</f>
        <v>9.6116063091731991</v>
      </c>
      <c r="DQ11">
        <v>0.71699999999999997</v>
      </c>
      <c r="DR11">
        <v>0.92700000000000005</v>
      </c>
      <c r="DS11">
        <f t="shared" si="15"/>
        <v>3.585E-2</v>
      </c>
      <c r="DT11">
        <f>DR11/'DIAMETRE (CR,CS)'!$N$18</f>
        <v>5.7432080026629944</v>
      </c>
      <c r="DY11">
        <v>0.68200000000000005</v>
      </c>
      <c r="DZ11">
        <v>0.69</v>
      </c>
      <c r="EA11">
        <f t="shared" si="16"/>
        <v>3.4100000000000005E-2</v>
      </c>
      <c r="EB11">
        <f>DZ11/'DIAMETRE (CR,CS)'!$N$19</f>
        <v>12.831056144761034</v>
      </c>
      <c r="EG11">
        <v>0.69499999999999995</v>
      </c>
      <c r="EH11">
        <v>1.6140000000000001</v>
      </c>
      <c r="EI11">
        <f t="shared" si="17"/>
        <v>3.4749999999999996E-2</v>
      </c>
      <c r="EJ11">
        <f>EH11/'DIAMETRE (CR,CS)'!$N$20</f>
        <v>124.77704588850057</v>
      </c>
      <c r="EO11">
        <v>0.75</v>
      </c>
      <c r="EP11">
        <v>1.2310000000000001</v>
      </c>
      <c r="EQ11">
        <f t="shared" si="18"/>
        <v>3.7499999999999999E-2</v>
      </c>
      <c r="ER11">
        <f>EP11/'DIAMETRE (CR,CS)'!$N$21</f>
        <v>3.2793908221552055</v>
      </c>
      <c r="EW11">
        <v>0.73699999999999999</v>
      </c>
      <c r="EX11">
        <v>0.64300000000000002</v>
      </c>
      <c r="EY11">
        <f t="shared" si="19"/>
        <v>3.6850000000000001E-2</v>
      </c>
      <c r="EZ11">
        <f>EX11/'DIAMETRE (CR,CS)'!$N$22</f>
        <v>45.3684047397767</v>
      </c>
      <c r="FE11">
        <v>0.73</v>
      </c>
      <c r="FF11">
        <v>1.042</v>
      </c>
      <c r="FG11">
        <f t="shared" si="20"/>
        <v>3.6499999999999998E-2</v>
      </c>
      <c r="FH11">
        <f>FF11/'DIAMETRE (CR,CS)'!$N$23</f>
        <v>14.973296662891759</v>
      </c>
      <c r="FM11">
        <v>0.68</v>
      </c>
      <c r="FN11">
        <v>0.97599999999999998</v>
      </c>
      <c r="FO11">
        <f t="shared" si="21"/>
        <v>3.4000000000000002E-2</v>
      </c>
      <c r="FP11">
        <f>FN11/'DIAMETRE (CR,CS)'!$N$24</f>
        <v>147.88940378120566</v>
      </c>
    </row>
    <row r="12" spans="1:175" x14ac:dyDescent="0.25">
      <c r="A12">
        <v>0.93100000000000005</v>
      </c>
      <c r="B12">
        <v>1.5249999999999999</v>
      </c>
      <c r="C12">
        <f t="shared" si="0"/>
        <v>4.6550000000000001E-2</v>
      </c>
      <c r="D12">
        <f>B12/'DIAMETRE (CR,CS)'!$N$3</f>
        <v>14.789836862248521</v>
      </c>
      <c r="I12">
        <v>0.83699999999999997</v>
      </c>
      <c r="J12">
        <v>2.4319999999999999</v>
      </c>
      <c r="K12">
        <f t="shared" si="1"/>
        <v>4.1849999999999998E-2</v>
      </c>
      <c r="L12">
        <f>J12/'DIAMETRE (CR,CS)'!$N$4</f>
        <v>18.971905773918728</v>
      </c>
      <c r="Q12">
        <v>0.76700000000000002</v>
      </c>
      <c r="R12">
        <v>2.722</v>
      </c>
      <c r="S12">
        <f t="shared" si="2"/>
        <v>3.8350000000000002E-2</v>
      </c>
      <c r="T12">
        <f>R12/'DIAMETRE (CR,CS)'!$N$5</f>
        <v>43.070670113576263</v>
      </c>
      <c r="Y12">
        <v>0.752</v>
      </c>
      <c r="Z12">
        <v>1.96</v>
      </c>
      <c r="AA12">
        <f t="shared" si="3"/>
        <v>3.7600000000000001E-2</v>
      </c>
      <c r="AB12">
        <f>Z12/'DIAMETRE (CR,CS)'!$N$6</f>
        <v>261.62151648974702</v>
      </c>
      <c r="AG12">
        <v>0.78900000000000003</v>
      </c>
      <c r="AH12">
        <v>3.1139999999999999</v>
      </c>
      <c r="AI12">
        <f t="shared" si="4"/>
        <v>3.9449999999999999E-2</v>
      </c>
      <c r="AJ12">
        <f>AH12/'DIAMETRE (CR,CS)'!$N$7</f>
        <v>58.203313843092459</v>
      </c>
      <c r="AO12">
        <v>0.80500000000000005</v>
      </c>
      <c r="AP12">
        <v>2.1749999999999998</v>
      </c>
      <c r="AQ12">
        <f t="shared" si="5"/>
        <v>4.0250000000000001E-2</v>
      </c>
      <c r="AR12">
        <f>AP12/'DIAMETRE (CR,CS)'!$N$8</f>
        <v>35.32265318621149</v>
      </c>
      <c r="AW12">
        <v>0.65900000000000003</v>
      </c>
      <c r="AX12">
        <v>0.70400000000000007</v>
      </c>
      <c r="AY12">
        <f t="shared" si="6"/>
        <v>3.295E-2</v>
      </c>
      <c r="AZ12">
        <f>AX12/'DIAMETRE (CR,CS)'!$N$9</f>
        <v>6.0577824066407553</v>
      </c>
      <c r="BM12">
        <v>0.77700000000000002</v>
      </c>
      <c r="BN12">
        <v>3.3029999999999999</v>
      </c>
      <c r="BO12">
        <f t="shared" si="8"/>
        <v>3.8850000000000003E-2</v>
      </c>
      <c r="BP12">
        <f>BN12/'DIAMETRE (CR,CS)'!$N$11</f>
        <v>615.40049340436758</v>
      </c>
      <c r="BU12">
        <v>0.79100000000000004</v>
      </c>
      <c r="BV12">
        <v>1.121</v>
      </c>
      <c r="BW12">
        <f t="shared" si="9"/>
        <v>3.9550000000000002E-2</v>
      </c>
      <c r="BX12">
        <f>BV12/'DIAMETRE (CR,CS)'!$N$12</f>
        <v>57.416400050208388</v>
      </c>
      <c r="CC12">
        <v>0.81</v>
      </c>
      <c r="CD12">
        <v>2.242</v>
      </c>
      <c r="CE12">
        <f t="shared" si="10"/>
        <v>4.0500000000000001E-2</v>
      </c>
      <c r="CF12">
        <f>CD12/'DIAMETRE (CR,CS)'!$N$13</f>
        <v>52.133155440430968</v>
      </c>
      <c r="CK12">
        <v>0.749</v>
      </c>
      <c r="CL12">
        <v>0.70799999999999996</v>
      </c>
      <c r="CM12">
        <f t="shared" si="11"/>
        <v>3.7449999999999997E-2</v>
      </c>
      <c r="CN12">
        <f>CL12/'DIAMETRE (CR,CS)'!$N$14</f>
        <v>51.47600948583181</v>
      </c>
      <c r="DA12">
        <v>0.77400000000000002</v>
      </c>
      <c r="DB12">
        <v>0.97199999999999998</v>
      </c>
      <c r="DC12">
        <f t="shared" si="13"/>
        <v>3.8699999999999998E-2</v>
      </c>
      <c r="DD12">
        <f>DB12/'DIAMETRE (CR,CS)'!$N$16</f>
        <v>8.0538632176865086</v>
      </c>
      <c r="DQ12">
        <v>0.79</v>
      </c>
      <c r="DR12">
        <v>0.748</v>
      </c>
      <c r="DS12">
        <f t="shared" si="15"/>
        <v>3.95E-2</v>
      </c>
      <c r="DT12">
        <f>DR12/'DIAMETRE (CR,CS)'!$N$18</f>
        <v>4.6342174606169575</v>
      </c>
      <c r="DY12">
        <v>0.752</v>
      </c>
      <c r="DZ12">
        <v>0.53</v>
      </c>
      <c r="EA12">
        <f t="shared" si="16"/>
        <v>3.7600000000000001E-2</v>
      </c>
      <c r="EB12">
        <f>DZ12/'DIAMETRE (CR,CS)'!$N$19</f>
        <v>9.8557387778599264</v>
      </c>
      <c r="EG12">
        <v>0.76200000000000001</v>
      </c>
      <c r="EH12">
        <v>1.768</v>
      </c>
      <c r="EI12">
        <f t="shared" si="17"/>
        <v>3.8100000000000002E-2</v>
      </c>
      <c r="EJ12">
        <f>EH12/'DIAMETRE (CR,CS)'!$N$20</f>
        <v>136.68266241069949</v>
      </c>
      <c r="EO12">
        <v>0.80600000000000005</v>
      </c>
      <c r="EP12">
        <v>1.236</v>
      </c>
      <c r="EQ12">
        <f t="shared" si="18"/>
        <v>4.0300000000000002E-2</v>
      </c>
      <c r="ER12">
        <f>EP12/'DIAMETRE (CR,CS)'!$N$21</f>
        <v>3.2927108498650153</v>
      </c>
      <c r="EW12">
        <v>0.79700000000000004</v>
      </c>
      <c r="EX12">
        <v>0.70799999999999996</v>
      </c>
      <c r="EY12">
        <f t="shared" si="19"/>
        <v>3.9850000000000003E-2</v>
      </c>
      <c r="EZ12">
        <f>EX12/'DIAMETRE (CR,CS)'!$N$22</f>
        <v>49.954635389987409</v>
      </c>
      <c r="FE12">
        <v>0.79500000000000004</v>
      </c>
      <c r="FF12">
        <v>0.73099999999999998</v>
      </c>
      <c r="FG12">
        <f t="shared" si="20"/>
        <v>3.9750000000000001E-2</v>
      </c>
      <c r="FH12">
        <f>FF12/'DIAMETRE (CR,CS)'!$N$23</f>
        <v>10.504299290378</v>
      </c>
      <c r="FM12">
        <v>0.75</v>
      </c>
      <c r="FN12">
        <v>0.751</v>
      </c>
      <c r="FO12">
        <f t="shared" si="21"/>
        <v>3.7499999999999999E-2</v>
      </c>
      <c r="FP12">
        <f>FN12/'DIAMETRE (CR,CS)'!$N$24</f>
        <v>113.7960473767269</v>
      </c>
    </row>
    <row r="13" spans="1:175" x14ac:dyDescent="0.25">
      <c r="A13">
        <v>0.999</v>
      </c>
      <c r="B13">
        <v>1.621</v>
      </c>
      <c r="C13">
        <f t="shared" si="0"/>
        <v>4.9950000000000001E-2</v>
      </c>
      <c r="D13">
        <f>B13/'DIAMETRE (CR,CS)'!$N$3</f>
        <v>15.720869215544166</v>
      </c>
      <c r="I13">
        <v>0.91</v>
      </c>
      <c r="J13">
        <v>2.0430000000000001</v>
      </c>
      <c r="K13">
        <f t="shared" si="1"/>
        <v>4.5499999999999999E-2</v>
      </c>
      <c r="L13">
        <f>J13/'DIAMETRE (CR,CS)'!$N$4</f>
        <v>15.937336963863475</v>
      </c>
      <c r="Q13">
        <v>0.83899999999999997</v>
      </c>
      <c r="R13">
        <v>2.0870000000000002</v>
      </c>
      <c r="S13">
        <f t="shared" si="2"/>
        <v>4.1950000000000001E-2</v>
      </c>
      <c r="T13">
        <f>R13/'DIAMETRE (CR,CS)'!$N$5</f>
        <v>33.022956843142417</v>
      </c>
      <c r="Y13">
        <v>0.82799999999999996</v>
      </c>
      <c r="Z13">
        <v>1.42</v>
      </c>
      <c r="AA13">
        <f t="shared" si="3"/>
        <v>4.1399999999999999E-2</v>
      </c>
      <c r="AB13">
        <f>Z13/'DIAMETRE (CR,CS)'!$N$6</f>
        <v>189.54211908951061</v>
      </c>
      <c r="AG13">
        <v>0.85499999999999998</v>
      </c>
      <c r="AH13">
        <v>2.4159999999999999</v>
      </c>
      <c r="AI13">
        <f t="shared" si="4"/>
        <v>4.2749999999999996E-2</v>
      </c>
      <c r="AJ13">
        <f>AH13/'DIAMETRE (CR,CS)'!$N$7</f>
        <v>45.157098986805202</v>
      </c>
      <c r="AO13">
        <v>0.86699999999999999</v>
      </c>
      <c r="AP13">
        <v>1.766</v>
      </c>
      <c r="AQ13">
        <f t="shared" si="5"/>
        <v>4.335E-2</v>
      </c>
      <c r="AR13">
        <f>AP13/'DIAMETRE (CR,CS)'!$N$8</f>
        <v>28.680370357172183</v>
      </c>
      <c r="AW13">
        <v>0.78500000000000003</v>
      </c>
      <c r="AX13">
        <v>0.76600000000000001</v>
      </c>
      <c r="AY13">
        <f t="shared" si="6"/>
        <v>3.925E-2</v>
      </c>
      <c r="AZ13">
        <f>AX13/'DIAMETRE (CR,CS)'!$N$9</f>
        <v>6.5912802890437758</v>
      </c>
      <c r="BM13">
        <v>0.85</v>
      </c>
      <c r="BN13">
        <v>3.5870000000000002</v>
      </c>
      <c r="BO13">
        <f t="shared" si="8"/>
        <v>4.2499999999999996E-2</v>
      </c>
      <c r="BP13">
        <f>BN13/'DIAMETRE (CR,CS)'!$N$11</f>
        <v>668.31412953117365</v>
      </c>
      <c r="BU13">
        <v>0.875</v>
      </c>
      <c r="BV13">
        <v>0.871</v>
      </c>
      <c r="BW13">
        <f t="shared" si="9"/>
        <v>4.3749999999999997E-2</v>
      </c>
      <c r="BX13">
        <f>BV13/'DIAMETRE (CR,CS)'!$N$12</f>
        <v>44.611672117512491</v>
      </c>
      <c r="CC13">
        <v>0.875</v>
      </c>
      <c r="CD13">
        <v>2.2170000000000001</v>
      </c>
      <c r="CE13">
        <f t="shared" si="10"/>
        <v>4.3749999999999997E-2</v>
      </c>
      <c r="CF13">
        <f>CD13/'DIAMETRE (CR,CS)'!$N$13</f>
        <v>51.551831227223666</v>
      </c>
      <c r="CK13">
        <v>0.81699999999999995</v>
      </c>
      <c r="CL13">
        <v>0.77500000000000002</v>
      </c>
      <c r="CM13">
        <f t="shared" si="11"/>
        <v>4.0849999999999997E-2</v>
      </c>
      <c r="CN13">
        <f>CL13/'DIAMETRE (CR,CS)'!$N$14</f>
        <v>56.347326767683128</v>
      </c>
      <c r="DA13">
        <v>0.85599999999999998</v>
      </c>
      <c r="DB13">
        <v>0.755</v>
      </c>
      <c r="DC13">
        <f t="shared" si="13"/>
        <v>4.2799999999999998E-2</v>
      </c>
      <c r="DD13">
        <f>DB13/'DIAMETRE (CR,CS)'!$N$16</f>
        <v>6.2558299684704881</v>
      </c>
      <c r="DQ13">
        <v>0.85499999999999998</v>
      </c>
      <c r="DR13">
        <v>0.54500000000000004</v>
      </c>
      <c r="DS13">
        <f t="shared" si="15"/>
        <v>4.2749999999999996E-2</v>
      </c>
      <c r="DT13">
        <f>DR13/'DIAMETRE (CR,CS)'!$N$18</f>
        <v>3.3765354492463131</v>
      </c>
      <c r="DY13">
        <v>0.82199999999999995</v>
      </c>
      <c r="DZ13">
        <v>0.35099999999999998</v>
      </c>
      <c r="EA13">
        <f t="shared" si="16"/>
        <v>4.1099999999999998E-2</v>
      </c>
      <c r="EB13">
        <f>DZ13/'DIAMETRE (CR,CS)'!$N$19</f>
        <v>6.5271024736393093</v>
      </c>
      <c r="EG13">
        <v>0.83099999999999996</v>
      </c>
      <c r="EH13">
        <v>1.927</v>
      </c>
      <c r="EI13">
        <f t="shared" si="17"/>
        <v>4.1549999999999997E-2</v>
      </c>
      <c r="EJ13">
        <f>EH13/'DIAMETRE (CR,CS)'!$N$20</f>
        <v>148.97482492387891</v>
      </c>
      <c r="EO13">
        <v>0.88100000000000001</v>
      </c>
      <c r="EP13">
        <v>0.98599999999999999</v>
      </c>
      <c r="EQ13">
        <f t="shared" si="18"/>
        <v>4.4049999999999999E-2</v>
      </c>
      <c r="ER13">
        <f>EP13/'DIAMETRE (CR,CS)'!$N$21</f>
        <v>2.6267094643745188</v>
      </c>
      <c r="FM13">
        <v>0.81</v>
      </c>
      <c r="FN13">
        <v>0.48599999999999999</v>
      </c>
      <c r="FO13">
        <f t="shared" si="21"/>
        <v>4.0500000000000001E-2</v>
      </c>
      <c r="FP13">
        <f>FN13/'DIAMETRE (CR,CS)'!$N$24</f>
        <v>73.641649833674137</v>
      </c>
    </row>
    <row r="14" spans="1:175" x14ac:dyDescent="0.25">
      <c r="A14">
        <v>1.07</v>
      </c>
      <c r="B14">
        <v>1.3460000000000001</v>
      </c>
      <c r="C14">
        <f t="shared" si="0"/>
        <v>5.3500000000000006E-2</v>
      </c>
      <c r="D14">
        <f>B14/'DIAMETRE (CR,CS)'!$N$3</f>
        <v>13.053849453499351</v>
      </c>
      <c r="I14">
        <v>0.97499999999999998</v>
      </c>
      <c r="J14">
        <v>1.601</v>
      </c>
      <c r="K14">
        <f t="shared" si="1"/>
        <v>4.8750000000000002E-2</v>
      </c>
      <c r="L14">
        <f>J14/'DIAMETRE (CR,CS)'!$N$4</f>
        <v>12.489317904623309</v>
      </c>
      <c r="Q14">
        <v>0.93700000000000006</v>
      </c>
      <c r="R14">
        <v>1.329</v>
      </c>
      <c r="S14">
        <f t="shared" si="2"/>
        <v>4.6850000000000003E-2</v>
      </c>
      <c r="T14">
        <f>R14/'DIAMETRE (CR,CS)'!$N$5</f>
        <v>21.02899360064028</v>
      </c>
      <c r="AO14">
        <v>0.92500000000000004</v>
      </c>
      <c r="AP14">
        <v>1.2509999999999999</v>
      </c>
      <c r="AQ14">
        <f t="shared" si="5"/>
        <v>4.6249999999999999E-2</v>
      </c>
      <c r="AR14">
        <f>AP14/'DIAMETRE (CR,CS)'!$N$8</f>
        <v>20.316615694689919</v>
      </c>
      <c r="AW14">
        <v>0.84699999999999998</v>
      </c>
      <c r="AX14">
        <v>0.84600000000000009</v>
      </c>
      <c r="AY14">
        <f t="shared" si="6"/>
        <v>4.2349999999999999E-2</v>
      </c>
      <c r="AZ14">
        <f>AX14/'DIAMETRE (CR,CS)'!$N$9</f>
        <v>7.2796646534347706</v>
      </c>
      <c r="BM14">
        <v>0.91600000000000004</v>
      </c>
      <c r="BN14">
        <v>3.867</v>
      </c>
      <c r="BO14">
        <f t="shared" si="8"/>
        <v>4.58E-2</v>
      </c>
      <c r="BP14">
        <f>BN14/'DIAMETRE (CR,CS)'!$N$11</f>
        <v>720.48250317732038</v>
      </c>
      <c r="BU14">
        <v>0.93200000000000005</v>
      </c>
      <c r="BV14">
        <v>0.60799999999999998</v>
      </c>
      <c r="BW14">
        <f t="shared" si="9"/>
        <v>4.6600000000000003E-2</v>
      </c>
      <c r="BX14">
        <f>BV14/'DIAMETRE (CR,CS)'!$N$12</f>
        <v>31.14109833231641</v>
      </c>
      <c r="CC14">
        <v>0.875</v>
      </c>
      <c r="CD14">
        <v>2.1579999999999999</v>
      </c>
      <c r="CE14">
        <f t="shared" si="10"/>
        <v>4.3749999999999997E-2</v>
      </c>
      <c r="CF14">
        <f>CD14/'DIAMETRE (CR,CS)'!$N$13</f>
        <v>50.17990608405443</v>
      </c>
      <c r="DA14">
        <v>0.92</v>
      </c>
      <c r="DB14">
        <v>0.52300000000000002</v>
      </c>
      <c r="DC14">
        <f t="shared" si="13"/>
        <v>4.5999999999999999E-2</v>
      </c>
      <c r="DD14">
        <f>DB14/'DIAMETRE (CR,CS)'!$N$16</f>
        <v>4.3335087066358478</v>
      </c>
      <c r="EG14">
        <v>0.91</v>
      </c>
      <c r="EH14">
        <v>2.0920000000000001</v>
      </c>
      <c r="EI14">
        <f t="shared" si="17"/>
        <v>4.5499999999999999E-2</v>
      </c>
      <c r="EJ14">
        <f>EH14/'DIAMETRE (CR,CS)'!$N$20</f>
        <v>161.73084262623493</v>
      </c>
      <c r="EO14">
        <v>0.95499999999999996</v>
      </c>
      <c r="EP14">
        <v>0.71899999999999997</v>
      </c>
      <c r="EQ14">
        <f t="shared" si="18"/>
        <v>4.7750000000000001E-2</v>
      </c>
      <c r="ER14">
        <f>EP14/'DIAMETRE (CR,CS)'!$N$21</f>
        <v>1.9154199846706683</v>
      </c>
    </row>
    <row r="15" spans="1:175" x14ac:dyDescent="0.25">
      <c r="A15">
        <v>1.137</v>
      </c>
      <c r="B15">
        <v>1.04</v>
      </c>
      <c r="C15">
        <f t="shared" si="0"/>
        <v>5.6849999999999998E-2</v>
      </c>
      <c r="D15">
        <f>B15/'DIAMETRE (CR,CS)'!$N$3</f>
        <v>10.086183827369485</v>
      </c>
      <c r="I15">
        <v>1.032</v>
      </c>
      <c r="J15">
        <v>1.1140000000000001</v>
      </c>
      <c r="K15">
        <f t="shared" si="1"/>
        <v>5.16E-2</v>
      </c>
      <c r="L15">
        <f>J15/'DIAMETRE (CR,CS)'!$N$4</f>
        <v>8.6902561809808656</v>
      </c>
      <c r="AW15">
        <v>0.92700000000000005</v>
      </c>
      <c r="AX15">
        <v>0.91900000000000004</v>
      </c>
      <c r="AY15">
        <f t="shared" si="6"/>
        <v>4.6350000000000002E-2</v>
      </c>
      <c r="AZ15">
        <f>AX15/'DIAMETRE (CR,CS)'!$N$9</f>
        <v>7.9078153859415536</v>
      </c>
      <c r="BM15">
        <v>0.98499999999999999</v>
      </c>
      <c r="BN15">
        <v>4.1390000000000002</v>
      </c>
      <c r="BO15">
        <f t="shared" si="8"/>
        <v>4.9250000000000002E-2</v>
      </c>
      <c r="BP15">
        <f>BN15/'DIAMETRE (CR,CS)'!$N$11</f>
        <v>771.16035186214879</v>
      </c>
      <c r="CC15">
        <v>0.997</v>
      </c>
      <c r="CD15">
        <v>1.6850000000000001</v>
      </c>
      <c r="CE15">
        <f t="shared" si="10"/>
        <v>4.9849999999999998E-2</v>
      </c>
      <c r="CF15">
        <f>CD15/'DIAMETRE (CR,CS)'!$N$13</f>
        <v>39.181251970172248</v>
      </c>
      <c r="EG15">
        <v>0.97499999999999998</v>
      </c>
      <c r="EH15">
        <v>2.2810000000000001</v>
      </c>
      <c r="EI15">
        <f t="shared" si="17"/>
        <v>4.8750000000000002E-2</v>
      </c>
      <c r="EJ15">
        <f>EH15/'DIAMETRE (CR,CS)'!$N$20</f>
        <v>176.34228108529726</v>
      </c>
      <c r="EO15">
        <v>1.022</v>
      </c>
      <c r="EP15">
        <v>0.432</v>
      </c>
      <c r="EQ15">
        <f t="shared" si="18"/>
        <v>5.11E-2</v>
      </c>
      <c r="ER15">
        <f>EP15/'DIAMETRE (CR,CS)'!$N$21</f>
        <v>1.1508503941275781</v>
      </c>
    </row>
    <row r="16" spans="1:175" x14ac:dyDescent="0.25">
      <c r="A16">
        <v>1.2150000000000001</v>
      </c>
      <c r="B16">
        <v>0.70399999999999996</v>
      </c>
      <c r="C16">
        <f t="shared" si="0"/>
        <v>6.0750000000000005E-2</v>
      </c>
      <c r="D16">
        <f>B16/'DIAMETRE (CR,CS)'!$N$3</f>
        <v>6.8275705908347275</v>
      </c>
      <c r="I16">
        <v>1.095</v>
      </c>
      <c r="J16">
        <v>0.58099999999999996</v>
      </c>
      <c r="K16">
        <f t="shared" si="1"/>
        <v>5.475E-2</v>
      </c>
      <c r="L16">
        <f>J16/'DIAMETRE (CR,CS)'!$N$4</f>
        <v>4.532350844838315</v>
      </c>
      <c r="AW16">
        <v>1</v>
      </c>
      <c r="AX16">
        <v>0.98399999999999999</v>
      </c>
      <c r="AY16">
        <f t="shared" si="6"/>
        <v>0.05</v>
      </c>
      <c r="AZ16">
        <f>AX16/'DIAMETRE (CR,CS)'!$N$9</f>
        <v>8.4671276820092363</v>
      </c>
      <c r="BM16">
        <v>1.05</v>
      </c>
      <c r="BN16">
        <v>4.4279999999999999</v>
      </c>
      <c r="BO16">
        <f t="shared" si="8"/>
        <v>5.2500000000000005E-2</v>
      </c>
      <c r="BP16">
        <f>BN16/'DIAMETRE (CR,CS)'!$N$11</f>
        <v>825.00556608977888</v>
      </c>
      <c r="CC16">
        <v>1.0620000000000001</v>
      </c>
      <c r="CD16">
        <v>1.173</v>
      </c>
      <c r="CE16">
        <f t="shared" si="10"/>
        <v>5.3100000000000001E-2</v>
      </c>
      <c r="CF16">
        <f>CD16/'DIAMETRE (CR,CS)'!$N$13</f>
        <v>27.275732083686677</v>
      </c>
      <c r="EG16">
        <v>1.05</v>
      </c>
      <c r="EH16">
        <v>2.452</v>
      </c>
      <c r="EI16">
        <f t="shared" si="17"/>
        <v>5.2500000000000005E-2</v>
      </c>
      <c r="EJ16">
        <f>EH16/'DIAMETRE (CR,CS)'!$N$20</f>
        <v>189.56215397682985</v>
      </c>
    </row>
    <row r="17" spans="1:68" x14ac:dyDescent="0.25">
      <c r="A17">
        <v>1.2889999999999999</v>
      </c>
      <c r="B17">
        <v>0.32900000000000001</v>
      </c>
      <c r="C17">
        <f t="shared" si="0"/>
        <v>6.4449999999999993E-2</v>
      </c>
      <c r="D17">
        <f>B17/'DIAMETRE (CR,CS)'!$N$3</f>
        <v>3.1907254607736157</v>
      </c>
      <c r="AW17">
        <v>1.0649999999999999</v>
      </c>
      <c r="AX17">
        <v>1.044</v>
      </c>
      <c r="AY17">
        <f t="shared" si="6"/>
        <v>5.3249999999999999E-2</v>
      </c>
      <c r="AZ17">
        <f>AX17/'DIAMETRE (CR,CS)'!$N$9</f>
        <v>8.9834159553024833</v>
      </c>
      <c r="BM17">
        <v>1.135</v>
      </c>
      <c r="BN17">
        <v>4.7220000000000004</v>
      </c>
      <c r="BO17">
        <f t="shared" si="8"/>
        <v>5.6750000000000002E-2</v>
      </c>
      <c r="BP17">
        <f>BN17/'DIAMETRE (CR,CS)'!$N$11</f>
        <v>879.78235841823312</v>
      </c>
    </row>
    <row r="18" spans="1:68" x14ac:dyDescent="0.25">
      <c r="AW18">
        <v>1.125</v>
      </c>
      <c r="AX18">
        <v>1.044</v>
      </c>
      <c r="AY18">
        <f t="shared" si="6"/>
        <v>5.6250000000000001E-2</v>
      </c>
      <c r="AZ18">
        <f>AX18/'DIAMETRE (CR,CS)'!$N$9</f>
        <v>8.9834159553024833</v>
      </c>
      <c r="BM18">
        <v>1.204</v>
      </c>
      <c r="BN18">
        <v>4.6660000000000004</v>
      </c>
      <c r="BO18">
        <f t="shared" si="8"/>
        <v>6.0199999999999997E-2</v>
      </c>
      <c r="BP18">
        <f>BN18/'DIAMETRE (CR,CS)'!$N$11</f>
        <v>869.34868368900368</v>
      </c>
    </row>
    <row r="19" spans="1:68" x14ac:dyDescent="0.25">
      <c r="AW19">
        <v>1.125</v>
      </c>
      <c r="AX19">
        <v>1.1910000000000001</v>
      </c>
      <c r="AY19">
        <f t="shared" si="6"/>
        <v>5.6250000000000001E-2</v>
      </c>
      <c r="AZ19">
        <f>AX19/'DIAMETRE (CR,CS)'!$N$9</f>
        <v>10.248322224870936</v>
      </c>
      <c r="BM19">
        <v>1.2649999999999999</v>
      </c>
      <c r="BN19">
        <v>4.2229999999999999</v>
      </c>
      <c r="BO19">
        <f t="shared" si="8"/>
        <v>6.3250000000000001E-2</v>
      </c>
      <c r="BP19">
        <f>BN19/'DIAMETRE (CR,CS)'!$N$11</f>
        <v>786.81086395599277</v>
      </c>
    </row>
    <row r="20" spans="1:68" x14ac:dyDescent="0.25">
      <c r="AW20">
        <v>1.272</v>
      </c>
      <c r="AX20">
        <v>1.2689999999999999</v>
      </c>
      <c r="AY20">
        <f t="shared" si="6"/>
        <v>6.3600000000000004E-2</v>
      </c>
      <c r="AZ20">
        <f>AX20/'DIAMETRE (CR,CS)'!$N$9</f>
        <v>10.919496980152156</v>
      </c>
    </row>
    <row r="21" spans="1:68" ht="15.75" customHeight="1" x14ac:dyDescent="0.25">
      <c r="AW21">
        <v>1.35</v>
      </c>
      <c r="AX21">
        <v>1.35</v>
      </c>
      <c r="AY21">
        <f t="shared" si="6"/>
        <v>6.7500000000000004E-2</v>
      </c>
      <c r="AZ21">
        <f>AX21/'DIAMETRE (CR,CS)'!$N$9</f>
        <v>11.616486149098039</v>
      </c>
    </row>
    <row r="22" spans="1:68" ht="15.75" customHeight="1" x14ac:dyDescent="0.25"/>
    <row r="23" spans="1:68" ht="15.75" customHeight="1" x14ac:dyDescent="0.25"/>
    <row r="24" spans="1:68" ht="15.75" customHeight="1" x14ac:dyDescent="0.25"/>
    <row r="25" spans="1:68" ht="15.75" customHeight="1" x14ac:dyDescent="0.25"/>
    <row r="26" spans="1:68" ht="15.75" customHeight="1" x14ac:dyDescent="0.25"/>
    <row r="27" spans="1:68" ht="15.75" customHeight="1" x14ac:dyDescent="0.25"/>
    <row r="28" spans="1:68" ht="15.75" customHeight="1" x14ac:dyDescent="0.25"/>
    <row r="29" spans="1:68" ht="15.75" customHeight="1" x14ac:dyDescent="0.25"/>
    <row r="30" spans="1:68" ht="15.75" customHeight="1" x14ac:dyDescent="0.25"/>
    <row r="31" spans="1:68" ht="15.75" customHeight="1" x14ac:dyDescent="0.25"/>
    <row r="32" spans="1:6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2:10" x14ac:dyDescent="0.25">
      <c r="B1" s="1" t="s">
        <v>30</v>
      </c>
      <c r="G1" s="1" t="s">
        <v>31</v>
      </c>
    </row>
    <row r="2" spans="2:10" x14ac:dyDescent="0.25">
      <c r="C2" s="2" t="s">
        <v>32</v>
      </c>
      <c r="D2" s="2" t="s">
        <v>33</v>
      </c>
      <c r="E2" s="2" t="s">
        <v>34</v>
      </c>
      <c r="H2" s="2" t="s">
        <v>32</v>
      </c>
      <c r="I2" s="2" t="s">
        <v>33</v>
      </c>
      <c r="J2" s="2" t="s">
        <v>34</v>
      </c>
    </row>
    <row r="3" spans="2:10" x14ac:dyDescent="0.25">
      <c r="B3" s="2" t="s">
        <v>8</v>
      </c>
      <c r="C3" s="3">
        <f>COROUI!E2</f>
        <v>22.508933271244278</v>
      </c>
      <c r="D3" s="3">
        <f>COROUI!F2</f>
        <v>1.4249999999999999E-2</v>
      </c>
      <c r="E3" s="2">
        <f>COROUI!G2</f>
        <v>1433.282394217247</v>
      </c>
      <c r="G3" s="2" t="s">
        <v>8</v>
      </c>
      <c r="H3" s="3">
        <f>COSOU!E2</f>
        <v>15.720869215544166</v>
      </c>
      <c r="I3" s="3">
        <f>COSOU!F2</f>
        <v>4.9950000000000001E-2</v>
      </c>
      <c r="J3" s="2">
        <f>COSOU!G2</f>
        <v>422.84782106946079</v>
      </c>
    </row>
    <row r="4" spans="2:10" x14ac:dyDescent="0.25">
      <c r="B4" s="2" t="s">
        <v>9</v>
      </c>
      <c r="C4" s="3">
        <f>COROUI!M2</f>
        <v>78.252392229369676</v>
      </c>
      <c r="D4" s="3">
        <f>COROUI!N2</f>
        <v>2.2950000000000002E-2</v>
      </c>
      <c r="E4" s="2">
        <f>COROUI!O2</f>
        <v>5798.34268138074</v>
      </c>
      <c r="G4" s="2" t="s">
        <v>9</v>
      </c>
      <c r="H4" s="3">
        <f>COSOU!M2</f>
        <v>18.971905773918728</v>
      </c>
      <c r="I4" s="3">
        <f>COSOU!N2</f>
        <v>4.1849999999999998E-2</v>
      </c>
      <c r="J4" s="2">
        <f>COSOU!O2</f>
        <v>612.3388972638212</v>
      </c>
    </row>
    <row r="5" spans="2:10" x14ac:dyDescent="0.25">
      <c r="B5" s="2" t="s">
        <v>10</v>
      </c>
      <c r="C5" s="3">
        <f>COROUI!U2</f>
        <v>51.586663310908648</v>
      </c>
      <c r="D5" s="3">
        <f>COROUI!V2</f>
        <v>2.8100000000000003E-2</v>
      </c>
      <c r="E5" s="2">
        <f>COROUI!W2</f>
        <v>2098.1405113305541</v>
      </c>
      <c r="G5" s="2" t="s">
        <v>10</v>
      </c>
      <c r="H5" s="3">
        <f>COSOU!U2</f>
        <v>51.599359015566563</v>
      </c>
      <c r="I5" s="3">
        <f>COSOU!V2</f>
        <v>3.49E-2</v>
      </c>
      <c r="J5" s="2">
        <f>COSOU!W2</f>
        <v>1923.5671556481811</v>
      </c>
    </row>
    <row r="6" spans="2:10" x14ac:dyDescent="0.25">
      <c r="B6" s="2" t="s">
        <v>11</v>
      </c>
      <c r="C6" s="3">
        <f>COROUI!AC2</f>
        <v>9.3074022583690166</v>
      </c>
      <c r="D6" s="3">
        <f>COROUI!AD2</f>
        <v>4.1849999999999998E-2</v>
      </c>
      <c r="E6" s="2">
        <f>COROUI!AE2</f>
        <v>210.4270144524302</v>
      </c>
      <c r="G6" s="2" t="s">
        <v>11</v>
      </c>
      <c r="H6" s="3">
        <f>COSOU!AC2</f>
        <v>360.6639477322941</v>
      </c>
      <c r="I6" s="3">
        <f>COSOU!AD2</f>
        <v>3.1350000000000003E-2</v>
      </c>
      <c r="J6" s="2">
        <f>COSOU!AE2</f>
        <v>15131.25721481294</v>
      </c>
    </row>
    <row r="7" spans="2:10" x14ac:dyDescent="0.25">
      <c r="B7" s="2" t="s">
        <v>12</v>
      </c>
      <c r="C7" s="3">
        <f>COROUI!AK2</f>
        <v>11.761933539353887</v>
      </c>
      <c r="D7" s="3">
        <f>COROUI!AL2</f>
        <v>3.925E-2</v>
      </c>
      <c r="E7" s="2">
        <f>COROUI!AM2</f>
        <v>310.10971273268069</v>
      </c>
      <c r="G7" s="2" t="s">
        <v>12</v>
      </c>
      <c r="H7" s="3">
        <f>COSOU!AK2</f>
        <v>68.651500239460063</v>
      </c>
      <c r="I7" s="3">
        <f>COSOU!AL2</f>
        <v>3.6049999999999999E-2</v>
      </c>
      <c r="J7" s="2">
        <f>COSOU!AM2</f>
        <v>2448.4981528133271</v>
      </c>
    </row>
    <row r="8" spans="2:10" x14ac:dyDescent="0.25">
      <c r="B8" s="2" t="s">
        <v>13</v>
      </c>
      <c r="C8" s="3">
        <f>COROUI!AS2</f>
        <v>80.569464765332</v>
      </c>
      <c r="D8" s="3">
        <f>COROUI!AT2</f>
        <v>2.1749999999999999E-2</v>
      </c>
      <c r="E8" s="2">
        <f>COROUI!AU2</f>
        <v>3926.827786301772</v>
      </c>
      <c r="G8" s="2" t="s">
        <v>13</v>
      </c>
      <c r="H8" s="3">
        <f>COSOU!AS2</f>
        <v>41.981176315566302</v>
      </c>
      <c r="I8" s="3">
        <f>COSOU!AT2</f>
        <v>3.5949999999999996E-2</v>
      </c>
      <c r="J8" s="2">
        <f>COSOU!AU2</f>
        <v>1414.9227119670159</v>
      </c>
    </row>
    <row r="9" spans="2:10" x14ac:dyDescent="0.25">
      <c r="B9" s="2" t="s">
        <v>14</v>
      </c>
      <c r="C9" s="3">
        <f>COROUI!BA2</f>
        <v>103.36008923481057</v>
      </c>
      <c r="D9" s="3">
        <f>COROUI!BB2</f>
        <v>2.7750000000000004E-2</v>
      </c>
      <c r="E9" s="2">
        <f>COROUI!BC2</f>
        <v>4967.3487223075153</v>
      </c>
      <c r="G9" s="2" t="s">
        <v>14</v>
      </c>
      <c r="H9" s="3">
        <f>COSOU!BA2</f>
        <v>11.616486149098039</v>
      </c>
      <c r="I9" s="3">
        <f>COSOU!BB2</f>
        <v>6.7500000000000004E-2</v>
      </c>
      <c r="J9" s="2">
        <f>COSOU!BC2</f>
        <v>159.68737506148332</v>
      </c>
    </row>
    <row r="10" spans="2:10" x14ac:dyDescent="0.25">
      <c r="B10" s="2" t="s">
        <v>15</v>
      </c>
      <c r="C10" s="3">
        <f>COROUI!BI2</f>
        <v>247.0190166270815</v>
      </c>
      <c r="D10" s="3">
        <f>COROUI!BJ2</f>
        <v>5.4649999999999997E-2</v>
      </c>
      <c r="E10" s="2">
        <f>COROUI!BK2</f>
        <v>4865.5697926743078</v>
      </c>
      <c r="G10" s="2" t="s">
        <v>15</v>
      </c>
      <c r="H10" s="3">
        <f>COSOU!BI2</f>
        <v>15.098916520157307</v>
      </c>
      <c r="I10" s="3">
        <f>COSOU!BJ2</f>
        <v>2.2850000000000002E-2</v>
      </c>
      <c r="J10" s="2">
        <f>COSOU!BK2</f>
        <v>922.21892682749137</v>
      </c>
    </row>
    <row r="11" spans="2:10" x14ac:dyDescent="0.25">
      <c r="B11" s="2" t="s">
        <v>16</v>
      </c>
      <c r="C11" s="3">
        <f>COROUI!BQ2</f>
        <v>7.6307120233622019</v>
      </c>
      <c r="D11" s="3">
        <f>COROUI!BR2</f>
        <v>2.2749999999999999E-2</v>
      </c>
      <c r="E11" s="2">
        <f>COROUI!BS2</f>
        <v>480.79275999393775</v>
      </c>
      <c r="G11" s="2" t="s">
        <v>16</v>
      </c>
      <c r="H11" s="3">
        <f>COSOU!BQ2</f>
        <v>879.78235841823312</v>
      </c>
      <c r="I11" s="3">
        <f>COSOU!BR2</f>
        <v>5.6750000000000002E-2</v>
      </c>
      <c r="J11" s="2">
        <f>COSOU!BS2</f>
        <v>18292.630139069493</v>
      </c>
    </row>
    <row r="12" spans="2:10" x14ac:dyDescent="0.25">
      <c r="B12" s="2" t="s">
        <v>17</v>
      </c>
      <c r="C12" s="3">
        <f>COROUI!BY2</f>
        <v>163.21805511150112</v>
      </c>
      <c r="D12" s="3">
        <f>COROUI!BZ2</f>
        <v>5.0249999999999996E-2</v>
      </c>
      <c r="E12" s="2">
        <f>COROUI!CA2</f>
        <v>3339.7370864485138</v>
      </c>
      <c r="G12" s="2" t="s">
        <v>17</v>
      </c>
      <c r="H12" s="3">
        <f>COSOU!BY2</f>
        <v>68.735779542711555</v>
      </c>
      <c r="I12" s="3">
        <f>COSOU!BZ2</f>
        <v>3.585E-2</v>
      </c>
      <c r="J12" s="2">
        <f>COSOU!CA2</f>
        <v>2313.645306295331</v>
      </c>
    </row>
    <row r="13" spans="2:10" x14ac:dyDescent="0.25">
      <c r="B13" s="2" t="s">
        <v>18</v>
      </c>
      <c r="C13" s="3">
        <f>COROUI!CG2</f>
        <v>15.316598941954524</v>
      </c>
      <c r="D13" s="3">
        <f>COROUI!CH2</f>
        <v>3.3750000000000002E-2</v>
      </c>
      <c r="E13" s="2">
        <f>COROUI!CI2</f>
        <v>582.60410611514533</v>
      </c>
      <c r="G13" s="2" t="s">
        <v>18</v>
      </c>
      <c r="H13" s="3">
        <f>COSOU!CG2</f>
        <v>52.133155440430968</v>
      </c>
      <c r="I13" s="3">
        <f>COSOU!CH2</f>
        <v>4.0500000000000001E-2</v>
      </c>
      <c r="J13" s="2">
        <f>COSOU!CI2</f>
        <v>2093.929976425231</v>
      </c>
    </row>
    <row r="14" spans="2:10" x14ac:dyDescent="0.25">
      <c r="B14" s="2" t="s">
        <v>19</v>
      </c>
      <c r="C14" s="3">
        <f>COROUI!CO2</f>
        <v>28.865853679463441</v>
      </c>
      <c r="D14" s="3">
        <f>COROUI!CP2</f>
        <v>3.2250000000000001E-2</v>
      </c>
      <c r="E14" s="2">
        <f>COROUI!CQ2</f>
        <v>913.7145867870621</v>
      </c>
      <c r="G14" s="2" t="s">
        <v>19</v>
      </c>
      <c r="H14" s="3">
        <f>COSOU!CO2</f>
        <v>56.347326767683128</v>
      </c>
      <c r="I14" s="3">
        <f>COSOU!CP2</f>
        <v>4.0849999999999997E-2</v>
      </c>
      <c r="J14" s="2">
        <f>COSOU!CQ2</f>
        <v>1380.9072037714693</v>
      </c>
    </row>
    <row r="15" spans="2:10" x14ac:dyDescent="0.25">
      <c r="B15" s="2" t="s">
        <v>20</v>
      </c>
      <c r="C15" s="3">
        <f>COROUI!CW2</f>
        <v>161.4602645832997</v>
      </c>
      <c r="D15" s="3">
        <f>COROUI!CX2</f>
        <v>4.9500000000000002E-2</v>
      </c>
      <c r="E15" s="2">
        <f>COROUI!CY2</f>
        <v>3545.314750260005</v>
      </c>
      <c r="G15" s="2" t="s">
        <v>20</v>
      </c>
      <c r="H15" s="3">
        <f>COSOU!CW2</f>
        <v>15.145314158674378</v>
      </c>
      <c r="I15" s="3">
        <f>COSOU!CX2</f>
        <v>3.2750000000000001E-2</v>
      </c>
      <c r="J15" s="2">
        <f>COSOU!CY2</f>
        <v>483.74676040774898</v>
      </c>
    </row>
    <row r="16" spans="2:10" x14ac:dyDescent="0.25">
      <c r="B16" s="2" t="s">
        <v>21</v>
      </c>
      <c r="C16" s="3">
        <f>COROUI!DE2</f>
        <v>257.60283758061524</v>
      </c>
      <c r="D16" s="3">
        <f>COROUI!DF2</f>
        <v>2.9049999999999999E-2</v>
      </c>
      <c r="E16" s="2">
        <f>COROUI!DG2</f>
        <v>11697.51862186767</v>
      </c>
      <c r="G16" s="2" t="s">
        <v>21</v>
      </c>
      <c r="H16" s="3">
        <f>COSOU!DE2</f>
        <v>9.6116063091731991</v>
      </c>
      <c r="I16" s="3">
        <f>COSOU!DF2</f>
        <v>3.4000000000000002E-2</v>
      </c>
      <c r="J16" s="2">
        <f>COSOU!DG2</f>
        <v>341.48345348003977</v>
      </c>
    </row>
    <row r="17" spans="1:16" x14ac:dyDescent="0.25">
      <c r="B17" s="2" t="s">
        <v>22</v>
      </c>
      <c r="C17" s="3">
        <f>COROUI!DM2</f>
        <v>534.26100230867053</v>
      </c>
      <c r="D17" s="3">
        <f>COROUI!DN2</f>
        <v>5.8999999999999997E-2</v>
      </c>
      <c r="E17" s="2">
        <f>COROUI!DO2</f>
        <v>10286.180407473516</v>
      </c>
      <c r="G17" s="2" t="s">
        <v>22</v>
      </c>
      <c r="H17" s="3">
        <f>COSOU!DM2</f>
        <v>55.07188553194193</v>
      </c>
      <c r="I17" s="3">
        <f>COSOU!DN2</f>
        <v>2.07E-2</v>
      </c>
      <c r="J17" s="2">
        <f>COSOU!DO2</f>
        <v>3914.0946799203621</v>
      </c>
    </row>
    <row r="18" spans="1:16" x14ac:dyDescent="0.25">
      <c r="B18" s="2" t="s">
        <v>23</v>
      </c>
      <c r="C18" s="3">
        <f>COROUI!DU2</f>
        <v>437.33480073663299</v>
      </c>
      <c r="D18" s="3">
        <f>COROUI!DV2</f>
        <v>4.9000000000000002E-2</v>
      </c>
      <c r="E18" s="2">
        <f>COROUI!DW2</f>
        <v>13673.066408435241</v>
      </c>
      <c r="G18" s="2" t="s">
        <v>23</v>
      </c>
      <c r="H18" s="2">
        <f>COSOU!DU2</f>
        <v>6.2016733664138695</v>
      </c>
      <c r="I18" s="3">
        <f>COSOU!DV2</f>
        <v>3.2600000000000004E-2</v>
      </c>
      <c r="J18" s="2">
        <f>COSOU!DW2</f>
        <v>247.33842126382123</v>
      </c>
    </row>
    <row r="19" spans="1:16" x14ac:dyDescent="0.25">
      <c r="B19" s="2" t="s">
        <v>24</v>
      </c>
      <c r="C19" s="3">
        <f>COROUI!EC2</f>
        <v>221.81689910349161</v>
      </c>
      <c r="D19" s="3">
        <f>COROUI!ED2</f>
        <v>3.9550000000000002E-2</v>
      </c>
      <c r="E19" s="2">
        <f>COROUI!EE2</f>
        <v>7148.9565439532316</v>
      </c>
      <c r="G19" s="2" t="s">
        <v>24</v>
      </c>
      <c r="H19">
        <f>COSOU!EC2</f>
        <v>15.229905771825054</v>
      </c>
      <c r="I19">
        <f>COSOU!ED2</f>
        <v>3.1350000000000003E-2</v>
      </c>
      <c r="J19">
        <f>COSOU!EE2</f>
        <v>645.34634747336906</v>
      </c>
    </row>
    <row r="20" spans="1:16" x14ac:dyDescent="0.25">
      <c r="B20" s="2" t="s">
        <v>25</v>
      </c>
      <c r="C20">
        <f>COROUI!EK2</f>
        <v>254.45535854329214</v>
      </c>
      <c r="D20">
        <f>COROUI!EL2</f>
        <v>2.23E-2</v>
      </c>
      <c r="E20">
        <f>COROUI!EM2</f>
        <v>16303.421562110325</v>
      </c>
      <c r="G20" s="2" t="s">
        <v>25</v>
      </c>
      <c r="H20">
        <f>COSOU!EK2</f>
        <v>189.56215397682985</v>
      </c>
      <c r="I20">
        <f>COSOU!EL2</f>
        <v>5.2500000000000005E-2</v>
      </c>
      <c r="J20">
        <f>COSOU!EM2</f>
        <v>4157.026823679369</v>
      </c>
    </row>
    <row r="21" spans="1:16" ht="15.75" customHeight="1" x14ac:dyDescent="0.25">
      <c r="B21" s="2" t="s">
        <v>26</v>
      </c>
      <c r="C21">
        <f>COROUI!ES2</f>
        <v>183.29733175948596</v>
      </c>
      <c r="D21">
        <f>COROUI!ET2</f>
        <v>2.35E-2</v>
      </c>
      <c r="E21">
        <f>COROUI!EU2</f>
        <v>13671.352841435177</v>
      </c>
      <c r="G21" s="2" t="s">
        <v>26</v>
      </c>
      <c r="H21">
        <f>COSOU!ES2</f>
        <v>3.2927108498650153</v>
      </c>
      <c r="I21">
        <f>COSOU!ET2</f>
        <v>4.0300000000000002E-2</v>
      </c>
      <c r="J21">
        <f>COSOU!EU2</f>
        <v>113.1667701858001</v>
      </c>
    </row>
    <row r="22" spans="1:16" ht="15.75" customHeight="1" x14ac:dyDescent="0.25">
      <c r="B22" s="2" t="s">
        <v>27</v>
      </c>
      <c r="C22">
        <f>COROUI!FA2</f>
        <v>225.98643717734808</v>
      </c>
      <c r="D22">
        <f>COROUI!FB2</f>
        <v>3.1350000000000003E-2</v>
      </c>
      <c r="E22">
        <f>COROUI!FC2</f>
        <v>7624.8566890441416</v>
      </c>
      <c r="G22" s="2" t="s">
        <v>27</v>
      </c>
      <c r="H22">
        <f>COSOU!FA2</f>
        <v>49.954635389987409</v>
      </c>
      <c r="I22">
        <f>COSOU!FB2</f>
        <v>3.9850000000000003E-2</v>
      </c>
      <c r="J22">
        <f>COSOU!FC2</f>
        <v>1272.1985201898624</v>
      </c>
    </row>
    <row r="23" spans="1:16" ht="15.75" customHeight="1" x14ac:dyDescent="0.25">
      <c r="B23" s="2" t="s">
        <v>28</v>
      </c>
      <c r="C23">
        <f>COROUI!FI2</f>
        <v>455.18546236982024</v>
      </c>
      <c r="D23">
        <f>COROUI!FJ2</f>
        <v>1.975E-2</v>
      </c>
      <c r="E23">
        <f>COROUI!FK2</f>
        <v>30323.617816001839</v>
      </c>
      <c r="G23" s="2" t="s">
        <v>28</v>
      </c>
      <c r="H23">
        <f>COSOU!FI2</f>
        <v>21.353472976062527</v>
      </c>
      <c r="I23">
        <f>COSOU!FJ2</f>
        <v>3.0550000000000001E-2</v>
      </c>
      <c r="J23">
        <f>COSOU!FK2</f>
        <v>924.40874599205813</v>
      </c>
    </row>
    <row r="24" spans="1:16" ht="15.75" customHeight="1" x14ac:dyDescent="0.25">
      <c r="B24" s="2" t="s">
        <v>29</v>
      </c>
      <c r="C24">
        <f>COROUI!FQ2</f>
        <v>21.786075950384433</v>
      </c>
      <c r="D24">
        <f>COROUI!FR2</f>
        <v>4.7849999999999997E-2</v>
      </c>
      <c r="E24">
        <f>COROUI!FS2</f>
        <v>457.21040819274793</v>
      </c>
      <c r="G24" s="2" t="s">
        <v>29</v>
      </c>
      <c r="H24">
        <f>COSOU!FQ2</f>
        <v>179.25529167332613</v>
      </c>
      <c r="I24">
        <f>COSOU!FR2</f>
        <v>2.9849999999999998E-2</v>
      </c>
      <c r="J24">
        <f>COSOU!FS2</f>
        <v>7348.7802520652958</v>
      </c>
    </row>
    <row r="25" spans="1:16" ht="15.75" customHeight="1" x14ac:dyDescent="0.25">
      <c r="A25" t="s">
        <v>35</v>
      </c>
      <c r="B25" s="2"/>
      <c r="C25" s="3">
        <f>AVERAGE(C3:C24)</f>
        <v>162.39016295935423</v>
      </c>
      <c r="D25" s="3">
        <f>AVERAGE(D3:D24)</f>
        <v>3.4563636363636359E-2</v>
      </c>
      <c r="E25" s="3">
        <f>AVERAGE(E3:E24)</f>
        <v>6529.9269637961725</v>
      </c>
      <c r="G25" s="2"/>
      <c r="H25" s="3">
        <f>AVERAGE(H3:H24)</f>
        <v>99.362792324307421</v>
      </c>
      <c r="I25" s="3">
        <f>AVERAGE(I3:I24)</f>
        <v>3.8127272727272725E-2</v>
      </c>
      <c r="J25" s="3">
        <f>AVERAGE(J3:J24)</f>
        <v>3025.6382570764986</v>
      </c>
    </row>
    <row r="26" spans="1:16" ht="15.75" customHeight="1" x14ac:dyDescent="0.25">
      <c r="A26" t="s">
        <v>36</v>
      </c>
      <c r="B26" s="2"/>
      <c r="C26" s="3">
        <f>_xlfn.STDEV.S(C3:C24)</f>
        <v>155.95097259179826</v>
      </c>
      <c r="D26" s="3">
        <f>_xlfn.STDEV.S(D3:D24)</f>
        <v>1.2785912837946578E-2</v>
      </c>
      <c r="E26" s="3">
        <f>_xlfn.STDEV.S(E3:E24)</f>
        <v>7245.0648581752148</v>
      </c>
      <c r="G26" s="2"/>
      <c r="H26" s="3">
        <f>_xlfn.STDEV.S(H3:H24)</f>
        <v>193.00497556351218</v>
      </c>
      <c r="I26" s="3">
        <f>_xlfn.STDEV.S(I3:I24)</f>
        <v>1.0793645918214672E-2</v>
      </c>
      <c r="J26" s="3">
        <f>_xlfn.STDEV.S(J3:J24)</f>
        <v>4765.2893693790656</v>
      </c>
    </row>
    <row r="27" spans="1:16" ht="15.75" customHeight="1" x14ac:dyDescent="0.25"/>
    <row r="28" spans="1:16" ht="15.75" customHeight="1" x14ac:dyDescent="0.25"/>
    <row r="29" spans="1:16" ht="15.75" customHeight="1" x14ac:dyDescent="0.25">
      <c r="A29" t="s">
        <v>32</v>
      </c>
      <c r="B29" t="s">
        <v>30</v>
      </c>
      <c r="C29" t="s">
        <v>31</v>
      </c>
      <c r="E29" t="s">
        <v>33</v>
      </c>
      <c r="F29" t="s">
        <v>30</v>
      </c>
      <c r="G29" t="s">
        <v>31</v>
      </c>
      <c r="I29" t="s">
        <v>34</v>
      </c>
      <c r="J29" t="s">
        <v>30</v>
      </c>
      <c r="K29" t="s">
        <v>31</v>
      </c>
    </row>
    <row r="30" spans="1:16" ht="15.75" customHeight="1" x14ac:dyDescent="0.25">
      <c r="A30" t="s">
        <v>35</v>
      </c>
      <c r="B30">
        <f>C25</f>
        <v>162.39016295935423</v>
      </c>
      <c r="C30">
        <f>H25</f>
        <v>99.362792324307421</v>
      </c>
      <c r="E30" t="s">
        <v>35</v>
      </c>
      <c r="F30">
        <f>D25</f>
        <v>3.4563636363636359E-2</v>
      </c>
      <c r="G30">
        <f>I25</f>
        <v>3.8127272727272725E-2</v>
      </c>
      <c r="I30" t="s">
        <v>35</v>
      </c>
      <c r="J30">
        <f>E25</f>
        <v>6529.9269637961725</v>
      </c>
      <c r="K30">
        <f>J25</f>
        <v>3025.6382570764986</v>
      </c>
    </row>
    <row r="31" spans="1:16" ht="15.75" customHeight="1" x14ac:dyDescent="0.25">
      <c r="A31" t="s">
        <v>36</v>
      </c>
      <c r="B31">
        <f>C26</f>
        <v>155.95097259179826</v>
      </c>
      <c r="C31" s="2">
        <f>H26</f>
        <v>193.00497556351218</v>
      </c>
      <c r="D31" s="2"/>
      <c r="E31" t="s">
        <v>36</v>
      </c>
      <c r="F31">
        <f>D26</f>
        <v>1.2785912837946578E-2</v>
      </c>
      <c r="G31">
        <f>I26</f>
        <v>1.0793645918214672E-2</v>
      </c>
      <c r="I31" s="2" t="s">
        <v>36</v>
      </c>
      <c r="J31" s="2">
        <f>E26</f>
        <v>7245.0648581752148</v>
      </c>
      <c r="K31">
        <f>J26</f>
        <v>4765.2893693790656</v>
      </c>
      <c r="O31" s="2"/>
      <c r="P31" s="2"/>
    </row>
    <row r="32" spans="1:16" ht="15.75" customHeight="1" x14ac:dyDescent="0.25">
      <c r="B32" s="2"/>
      <c r="C32" s="3"/>
      <c r="D32" s="3"/>
      <c r="H32" s="2"/>
      <c r="I32" s="3"/>
      <c r="J32" s="3"/>
      <c r="N32" s="2"/>
      <c r="O32" s="3"/>
      <c r="P32" s="3"/>
    </row>
    <row r="33" spans="2:16" ht="15.75" customHeight="1" x14ac:dyDescent="0.25">
      <c r="B33" s="2"/>
      <c r="C33" s="3"/>
      <c r="D33" s="3"/>
      <c r="H33" s="2"/>
      <c r="I33" s="3"/>
      <c r="J33" s="3"/>
      <c r="N33" s="2"/>
      <c r="O33" s="3"/>
      <c r="P33" s="3"/>
    </row>
    <row r="34" spans="2:16" ht="15.75" customHeight="1" x14ac:dyDescent="0.25"/>
    <row r="35" spans="2:16" ht="15.75" customHeight="1" x14ac:dyDescent="0.25"/>
    <row r="36" spans="2:16" ht="15.75" customHeight="1" x14ac:dyDescent="0.25"/>
    <row r="37" spans="2:16" ht="15.75" customHeight="1" x14ac:dyDescent="0.25"/>
    <row r="38" spans="2:16" ht="15.75" customHeight="1" x14ac:dyDescent="0.25"/>
    <row r="39" spans="2:16" ht="15.75" customHeight="1" x14ac:dyDescent="0.25"/>
    <row r="40" spans="2:16" ht="15.75" customHeight="1" x14ac:dyDescent="0.25"/>
    <row r="41" spans="2:16" ht="15.75" customHeight="1" x14ac:dyDescent="0.25"/>
    <row r="42" spans="2:16" ht="15.75" customHeight="1" x14ac:dyDescent="0.25"/>
    <row r="43" spans="2:16" ht="15.75" customHeight="1" x14ac:dyDescent="0.25"/>
    <row r="44" spans="2:16" ht="15.75" customHeight="1" x14ac:dyDescent="0.25"/>
    <row r="45" spans="2:16" ht="15.75" customHeight="1" x14ac:dyDescent="0.25"/>
    <row r="46" spans="2:16" ht="15.75" customHeight="1" x14ac:dyDescent="0.25"/>
    <row r="47" spans="2:16" ht="15.75" customHeight="1" x14ac:dyDescent="0.25"/>
    <row r="48" spans="2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DIAMETRE (CR,CS)</vt:lpstr>
      <vt:lpstr>COROUI</vt:lpstr>
      <vt:lpstr>COSOU</vt:lpstr>
      <vt:lpstr>RECCAPITULATIF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EXODUS DESKTOP</cp:lastModifiedBy>
  <dcterms:created xsi:type="dcterms:W3CDTF">2026-09-22T21:36:55Z</dcterms:created>
  <dcterms:modified xsi:type="dcterms:W3CDTF">2026-09-23T00:12:32Z</dcterms:modified>
</cp:coreProperties>
</file>